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tv\TestData\"/>
    </mc:Choice>
  </mc:AlternateContent>
  <bookViews>
    <workbookView xWindow="0" yWindow="0" windowWidth="20490" windowHeight="7755" activeTab="1"/>
  </bookViews>
  <sheets>
    <sheet name="Parameters" sheetId="1" r:id="rId1"/>
    <sheet name="Data" sheetId="2" r:id="rId2"/>
  </sheets>
  <definedNames>
    <definedName name="endDate">Parameters!$B$7</definedName>
    <definedName name="ExternalData_138" localSheetId="1">Data!$A$1:$A$998</definedName>
    <definedName name="ExternalData_139" localSheetId="1">Data!$A$1:$A$1002</definedName>
    <definedName name="ExternalData_140" localSheetId="1">Data!$A$1:$A$1002</definedName>
    <definedName name="ExternalData_141" localSheetId="1">Data!$A$1:$A$1002</definedName>
    <definedName name="ExternalData_142" localSheetId="1">Data!$A$1:$A$1002</definedName>
    <definedName name="ExternalData_143" localSheetId="1">Data!$A$1:$A$1002</definedName>
    <definedName name="ExternalData_144" localSheetId="1">Data!$A$1:$A$1002</definedName>
    <definedName name="ExternalData_145" localSheetId="1">Data!$A$1:$A$1002</definedName>
    <definedName name="ExternalData_146" localSheetId="1">Data!$A$1:$A$1002</definedName>
    <definedName name="ExternalData_147" localSheetId="1">Data!$A$1:$A$1002</definedName>
    <definedName name="ExternalData_148" localSheetId="1">Data!$A$1:$A$1002</definedName>
    <definedName name="ExternalData_149" localSheetId="1">Data!$A$1:$A$1002</definedName>
    <definedName name="ExternalData_150" localSheetId="1">Data!$A$1:$A$1002</definedName>
    <definedName name="ExternalData_151" localSheetId="1">Data!$A$1:$A$1002</definedName>
    <definedName name="ExternalData_152" localSheetId="1">Data!$A$1:$A$247</definedName>
    <definedName name="ExternalData_153" localSheetId="1">Data!$A$1:$A$1255</definedName>
    <definedName name="ExternalData_154" localSheetId="1">Data!$A$1:$A$1255</definedName>
    <definedName name="ExternalData_157" localSheetId="1">Data!$A$1:$A$210</definedName>
    <definedName name="ExternalData_158" localSheetId="1">Data!$A$1:$A$346</definedName>
    <definedName name="ExternalData_159" localSheetId="1">Data!$A$1:$A$583</definedName>
    <definedName name="ExternalData_160" localSheetId="1">Data!$A$1:$A$1214</definedName>
    <definedName name="ExternalData_161" localSheetId="1">Data!$A$1:$A$1214</definedName>
    <definedName name="ExternalData_162" localSheetId="1">Data!$A$1:$A$208</definedName>
    <definedName name="ExternalData_163" localSheetId="1">Data!$A$1:$A$127</definedName>
    <definedName name="ExternalData_164" localSheetId="1">Data!$A$1:$A$127</definedName>
    <definedName name="ExternalData_165" localSheetId="1">Data!$A$1:$A$127</definedName>
    <definedName name="ExternalData_166" localSheetId="1">Data!$A$1:$A$127</definedName>
    <definedName name="startDate">Parameters!$B$6</definedName>
    <definedName name="ticker">Parameters!$B$5</definedName>
  </definedNames>
  <calcPr calcId="152511"/>
</workbook>
</file>

<file path=xl/calcChain.xml><?xml version="1.0" encoding="utf-8"?>
<calcChain xmlns="http://schemas.openxmlformats.org/spreadsheetml/2006/main">
  <c r="J47" i="2" l="1"/>
  <c r="J49" i="2"/>
  <c r="J51" i="2"/>
  <c r="J53" i="2"/>
  <c r="J55" i="2"/>
  <c r="J57" i="2"/>
  <c r="J59" i="2"/>
  <c r="J61" i="2"/>
  <c r="J63" i="2"/>
  <c r="J65" i="2"/>
  <c r="J67" i="2"/>
  <c r="J69" i="2"/>
  <c r="J71" i="2"/>
  <c r="J73" i="2"/>
  <c r="J75" i="2"/>
  <c r="J77" i="2"/>
  <c r="J79" i="2"/>
  <c r="J81" i="2"/>
  <c r="J83" i="2"/>
  <c r="J85" i="2"/>
  <c r="J87" i="2"/>
  <c r="J89" i="2"/>
  <c r="J91" i="2"/>
  <c r="J93" i="2"/>
  <c r="J95" i="2"/>
  <c r="J97" i="2"/>
  <c r="J99" i="2"/>
  <c r="J101" i="2"/>
  <c r="J103" i="2"/>
  <c r="J105" i="2"/>
  <c r="J107" i="2"/>
  <c r="J109" i="2"/>
  <c r="J111" i="2"/>
  <c r="J113" i="2"/>
  <c r="J115" i="2"/>
  <c r="J117" i="2"/>
  <c r="J119" i="2"/>
  <c r="J121" i="2"/>
  <c r="J123" i="2"/>
  <c r="J125" i="2"/>
  <c r="I2" i="2"/>
  <c r="J2" i="2" s="1"/>
  <c r="K2" i="2" s="1"/>
  <c r="K3" i="2" s="1"/>
  <c r="I3" i="2"/>
  <c r="J3" i="2" s="1"/>
  <c r="I4" i="2"/>
  <c r="J4" i="2" s="1"/>
  <c r="I5" i="2"/>
  <c r="J5" i="2" s="1"/>
  <c r="I6" i="2"/>
  <c r="J6" i="2" s="1"/>
  <c r="I7" i="2"/>
  <c r="J7" i="2" s="1"/>
  <c r="I8" i="2"/>
  <c r="J8" i="2" s="1"/>
  <c r="I9" i="2"/>
  <c r="J9" i="2" s="1"/>
  <c r="I10" i="2"/>
  <c r="J10" i="2" s="1"/>
  <c r="I11" i="2"/>
  <c r="J11" i="2" s="1"/>
  <c r="I12" i="2"/>
  <c r="J12" i="2" s="1"/>
  <c r="I13" i="2"/>
  <c r="J13" i="2" s="1"/>
  <c r="I14" i="2"/>
  <c r="J14" i="2" s="1"/>
  <c r="I15" i="2"/>
  <c r="J15" i="2" s="1"/>
  <c r="I16" i="2"/>
  <c r="J16" i="2" s="1"/>
  <c r="I17" i="2"/>
  <c r="J17" i="2" s="1"/>
  <c r="I18" i="2"/>
  <c r="J18" i="2" s="1"/>
  <c r="I19" i="2"/>
  <c r="J19" i="2" s="1"/>
  <c r="I20" i="2"/>
  <c r="J20" i="2" s="1"/>
  <c r="I21" i="2"/>
  <c r="J21" i="2" s="1"/>
  <c r="I22" i="2"/>
  <c r="J22" i="2" s="1"/>
  <c r="I23" i="2"/>
  <c r="J23" i="2" s="1"/>
  <c r="I24" i="2"/>
  <c r="J24" i="2" s="1"/>
  <c r="I25" i="2"/>
  <c r="J25" i="2" s="1"/>
  <c r="I26" i="2"/>
  <c r="J26" i="2" s="1"/>
  <c r="I27" i="2"/>
  <c r="J27" i="2" s="1"/>
  <c r="I28" i="2"/>
  <c r="J28" i="2" s="1"/>
  <c r="I29" i="2"/>
  <c r="J29" i="2" s="1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I39" i="2"/>
  <c r="J39" i="2" s="1"/>
  <c r="I40" i="2"/>
  <c r="J40" i="2" s="1"/>
  <c r="I41" i="2"/>
  <c r="J41" i="2" s="1"/>
  <c r="I42" i="2"/>
  <c r="J42" i="2" s="1"/>
  <c r="I43" i="2"/>
  <c r="J43" i="2" s="1"/>
  <c r="I44" i="2"/>
  <c r="J44" i="2" s="1"/>
  <c r="I45" i="2"/>
  <c r="J45" i="2" s="1"/>
  <c r="I46" i="2"/>
  <c r="J46" i="2" s="1"/>
  <c r="I47" i="2"/>
  <c r="I48" i="2"/>
  <c r="J48" i="2" s="1"/>
  <c r="I49" i="2"/>
  <c r="I50" i="2"/>
  <c r="J50" i="2" s="1"/>
  <c r="I51" i="2"/>
  <c r="I52" i="2"/>
  <c r="J52" i="2" s="1"/>
  <c r="I53" i="2"/>
  <c r="I54" i="2"/>
  <c r="J54" i="2" s="1"/>
  <c r="I55" i="2"/>
  <c r="I56" i="2"/>
  <c r="J56" i="2" s="1"/>
  <c r="I57" i="2"/>
  <c r="I58" i="2"/>
  <c r="J58" i="2" s="1"/>
  <c r="I59" i="2"/>
  <c r="I60" i="2"/>
  <c r="J60" i="2" s="1"/>
  <c r="I61" i="2"/>
  <c r="I62" i="2"/>
  <c r="J62" i="2" s="1"/>
  <c r="I63" i="2"/>
  <c r="I64" i="2"/>
  <c r="J64" i="2" s="1"/>
  <c r="I65" i="2"/>
  <c r="I66" i="2"/>
  <c r="J66" i="2" s="1"/>
  <c r="I67" i="2"/>
  <c r="I68" i="2"/>
  <c r="J68" i="2" s="1"/>
  <c r="I69" i="2"/>
  <c r="I70" i="2"/>
  <c r="J70" i="2" s="1"/>
  <c r="I71" i="2"/>
  <c r="I72" i="2"/>
  <c r="J72" i="2" s="1"/>
  <c r="I73" i="2"/>
  <c r="I74" i="2"/>
  <c r="J74" i="2" s="1"/>
  <c r="I75" i="2"/>
  <c r="I76" i="2"/>
  <c r="J76" i="2" s="1"/>
  <c r="I77" i="2"/>
  <c r="I78" i="2"/>
  <c r="J78" i="2" s="1"/>
  <c r="I79" i="2"/>
  <c r="I80" i="2"/>
  <c r="J80" i="2" s="1"/>
  <c r="I81" i="2"/>
  <c r="I82" i="2"/>
  <c r="J82" i="2" s="1"/>
  <c r="I83" i="2"/>
  <c r="I84" i="2"/>
  <c r="J84" i="2" s="1"/>
  <c r="I85" i="2"/>
  <c r="I86" i="2"/>
  <c r="J86" i="2" s="1"/>
  <c r="I87" i="2"/>
  <c r="I88" i="2"/>
  <c r="J88" i="2" s="1"/>
  <c r="I89" i="2"/>
  <c r="I90" i="2"/>
  <c r="J90" i="2" s="1"/>
  <c r="I91" i="2"/>
  <c r="I92" i="2"/>
  <c r="J92" i="2" s="1"/>
  <c r="I93" i="2"/>
  <c r="I94" i="2"/>
  <c r="J94" i="2" s="1"/>
  <c r="I95" i="2"/>
  <c r="I96" i="2"/>
  <c r="J96" i="2" s="1"/>
  <c r="I97" i="2"/>
  <c r="I98" i="2"/>
  <c r="J98" i="2" s="1"/>
  <c r="I99" i="2"/>
  <c r="I100" i="2"/>
  <c r="J100" i="2" s="1"/>
  <c r="I101" i="2"/>
  <c r="I102" i="2"/>
  <c r="J102" i="2" s="1"/>
  <c r="I103" i="2"/>
  <c r="I104" i="2"/>
  <c r="J104" i="2" s="1"/>
  <c r="I105" i="2"/>
  <c r="I106" i="2"/>
  <c r="J106" i="2" s="1"/>
  <c r="I107" i="2"/>
  <c r="I108" i="2"/>
  <c r="J108" i="2" s="1"/>
  <c r="I109" i="2"/>
  <c r="I110" i="2"/>
  <c r="J110" i="2" s="1"/>
  <c r="I111" i="2"/>
  <c r="I112" i="2"/>
  <c r="J112" i="2" s="1"/>
  <c r="I113" i="2"/>
  <c r="I114" i="2"/>
  <c r="J114" i="2" s="1"/>
  <c r="I115" i="2"/>
  <c r="I116" i="2"/>
  <c r="J116" i="2" s="1"/>
  <c r="I117" i="2"/>
  <c r="I118" i="2"/>
  <c r="J118" i="2" s="1"/>
  <c r="I119" i="2"/>
  <c r="I120" i="2"/>
  <c r="J120" i="2" s="1"/>
  <c r="I121" i="2"/>
  <c r="I122" i="2"/>
  <c r="J122" i="2" s="1"/>
  <c r="I123" i="2"/>
  <c r="I124" i="2"/>
  <c r="J124" i="2" s="1"/>
  <c r="I125" i="2"/>
  <c r="I126" i="2"/>
  <c r="J126" i="2" s="1"/>
  <c r="H2" i="2"/>
  <c r="H3" i="2" s="1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K4" i="2" l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2" name="Connection1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3" name="Connection10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4" name="Connection11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5" name="Connection12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6" name="Connection13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7" name="Connection137" type="4" refreshedVersion="5" background="1" saveData="1">
    <webPr xl2000="1" url="http://ichart.finance.yahoo.com/table.csv?s=wmt&amp;a=9&amp;b=27&amp;c=2010&amp;d=9&amp;e=12&amp;f=2014&amp;g=&amp;q=q&amp;y=0&amp;z=wmt&amp;x=.csv" htmlFormat="all"/>
  </connection>
  <connection id="8" name="Connection14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9" name="Connection15" type="4" refreshedVersion="5" background="1" saveData="1">
    <webPr xl2000="1" url="http://ichart.finance.yahoo.com/table.csv?s=XOM&amp;a=9&amp;b=27&amp;c=2010&amp;d=9&amp;e=16&amp;f=2014&amp;g=&amp;q=q&amp;y=0&amp;z=XOM&amp;x=.csv" htmlFormat="all"/>
  </connection>
  <connection id="10" name="Connection16" type="4" refreshedVersion="5" background="1" saveData="1">
    <webPr xl2000="1" url="http://ichart.finance.yahoo.com/table.csv?s=XOM&amp;a=9&amp;b=27&amp;c=2013&amp;d=9&amp;e=16&amp;f=2014&amp;g=&amp;q=q&amp;y=0&amp;z=XOM&amp;x=.csv" htmlFormat="all"/>
  </connection>
  <connection id="11" name="Connection17" type="4" refreshedVersion="5" background="1" saveData="1">
    <webPr xl2000="1" url="http://ichart.finance.yahoo.com/table.csv?s=XOM&amp;a=9&amp;b=27&amp;c=2009&amp;d=9&amp;e=17&amp;f=2014&amp;g=&amp;q=q&amp;y=0&amp;z=XOM&amp;x=.csv" htmlFormat="all"/>
  </connection>
  <connection id="12" name="Connection18" type="4" refreshedVersion="5" background="1" saveData="1">
    <webPr xl2000="1" url="http://ichart.finance.yahoo.com/table.csv?s=BP&amp;a=9&amp;b=27&amp;c=2009&amp;d=9&amp;e=17&amp;f=2014&amp;g=&amp;q=q&amp;y=0&amp;z=BP&amp;x=.csv" htmlFormat="all"/>
  </connection>
  <connection id="13" name="Connection19" type="4" refreshedVersion="5" background="1" saveData="1">
    <webPr xl2000="1" url="http://ichart.finance.yahoo.com/table.csv?s=BP&amp;a=0&amp;b=1&amp;c=2010&amp;d=9&amp;e=26&amp;f=2014&amp;g=&amp;q=q&amp;y=0&amp;z=BP&amp;x=.csv" htmlFormat="all"/>
  </connection>
  <connection id="14" name="Connection2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15" name="Connection20" type="4" refreshedVersion="5" background="1" saveData="1">
    <webPr xl2000="1" url="http://ichart.finance.yahoo.com/table.csv?s=BP&amp;a=0&amp;b=1&amp;c=2014&amp;d=9&amp;e=26&amp;f=2014&amp;g=&amp;q=q&amp;y=0&amp;z=BP&amp;x=.csv" htmlFormat="all"/>
  </connection>
  <connection id="16" name="Connection21" type="4" refreshedVersion="5" background="1" saveData="1">
    <webPr xl2000="1" url="http://ichart.finance.yahoo.com/table.csv?s=BP&amp;a=11&amp;b=10&amp;c=2010&amp;d=9&amp;e=6&amp;f=2011&amp;g=&amp;q=q&amp;y=0&amp;z=BP&amp;x=.csv" htmlFormat="all"/>
  </connection>
  <connection id="17" name="Connection22" type="4" refreshedVersion="5" background="1" saveData="1">
    <webPr xl2000="1" url="http://ichart.finance.yahoo.com/table.csv?s=BP&amp;a=11&amp;b=10&amp;c=2010&amp;d=3&amp;e=23&amp;f=2012&amp;g=&amp;q=q&amp;y=0&amp;z=BP&amp;x=.csv" htmlFormat="all"/>
  </connection>
  <connection id="18" name="Connection23" type="4" refreshedVersion="5" background="1" saveData="1">
    <webPr xl2000="1" url="http://ichart.finance.yahoo.com/table.csv?s=BP&amp;a=0&amp;b=1&amp;c=2010&amp;d=3&amp;e=23&amp;f=2012&amp;g=&amp;q=q&amp;y=0&amp;z=BP&amp;x=.csv" htmlFormat="all"/>
  </connection>
  <connection id="19" name="Connection24" type="4" refreshedVersion="5" background="1" saveData="1">
    <webPr xl2000="1" url="http://ichart.finance.yahoo.com/table.csv?s=BP&amp;a=0&amp;b=1&amp;c=2010&amp;d=9&amp;e=25&amp;f=2014&amp;g=&amp;q=q&amp;y=0&amp;z=BP&amp;x=.csv" htmlFormat="all"/>
  </connection>
  <connection id="20" name="Connection25" type="4" refreshedVersion="5" background="1" saveData="1">
    <webPr xl2000="1" url="http://ichart.finance.yahoo.com/table.csv?s=BP&amp;a=0&amp;b=1&amp;c=2014&amp;d=6&amp;e=1&amp;f=2014&amp;g=&amp;q=q&amp;y=0&amp;z=BP&amp;x=.csv" htmlFormat="all"/>
  </connection>
  <connection id="21" name="Connection26" type="4" refreshedVersion="5" background="1" saveData="1">
    <webPr xl2000="1" url="http://ichart.finance.yahoo.com/table.csv?s=BP&amp;a=0&amp;b=1&amp;c=2014&amp;d=6&amp;e=1&amp;f=2014&amp;g=&amp;q=q&amp;y=0&amp;z=BP&amp;x=.csv" htmlFormat="all"/>
  </connection>
  <connection id="22" name="Connection27" type="4" refreshedVersion="5" background="1" saveData="1">
    <webPr xl2000="1" url="http://ichart.finance.yahoo.com/table.csv?s=BP&amp;a=0&amp;b=1&amp;c=2014&amp;d=6&amp;e=1&amp;f=2014&amp;g=&amp;q=q&amp;y=0&amp;z=BP&amp;x=.csv" htmlFormat="all"/>
  </connection>
  <connection id="23" name="Connection28" type="4" refreshedVersion="5" background="1" saveData="1">
    <webPr xl2000="1" url="http://ichart.finance.yahoo.com/table.csv?s=BP&amp;a=0&amp;b=1&amp;c=2014&amp;d=6&amp;e=1&amp;f=2014&amp;g=&amp;q=q&amp;y=0&amp;z=BP&amp;x=.csv" htmlFormat="all"/>
  </connection>
  <connection id="24" name="Connection3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25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26" name="Connection5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27" name="Connection59" type="4" refreshedVersion="0" background="1">
    <webPr url="http://ichart.yahoo.com/table.csv?s=BP&amp;a=4&amp;b=1&amp;c=2013&amp;d=5&amp;e=11&amp;f=2013&amp;g=&amp;q=q&amp;y=0&amp;z=BP&amp;x=.csv" htmlTables="1" htmlFormat="all"/>
  </connection>
  <connection id="28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29" name="Connection7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30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31" name="Connection9" type="4" refreshedVersion="5" background="1" saveData="1">
    <webPr xl2000="1" url="http://ichart.finance.yahoo.com/table.csv?s=wmt&amp;a=9&amp;b=27&amp;c=2010&amp;d=9&amp;e=16&amp;f=2014&amp;g=&amp;q=q&amp;y=0&amp;z=wmt&amp;x=.csv" htmlFormat="all"/>
  </connection>
</connections>
</file>

<file path=xl/sharedStrings.xml><?xml version="1.0" encoding="utf-8"?>
<sst xmlns="http://schemas.openxmlformats.org/spreadsheetml/2006/main" count="23" uniqueCount="22">
  <si>
    <t>End date</t>
  </si>
  <si>
    <t xml:space="preserve"> </t>
  </si>
  <si>
    <t>Data for Yahoo</t>
  </si>
  <si>
    <t>Stock ticker</t>
  </si>
  <si>
    <t>Start date</t>
  </si>
  <si>
    <t>http://investexcel.net</t>
  </si>
  <si>
    <t>Samir Khan</t>
  </si>
  <si>
    <t>simulationconsultant@gmail.com</t>
  </si>
  <si>
    <t>Date</t>
  </si>
  <si>
    <t>Open</t>
  </si>
  <si>
    <t>High</t>
  </si>
  <si>
    <t>Low</t>
  </si>
  <si>
    <t>Close</t>
  </si>
  <si>
    <t>Volume</t>
  </si>
  <si>
    <t>Adj Close</t>
  </si>
  <si>
    <t>OBV</t>
  </si>
  <si>
    <t>BP</t>
  </si>
  <si>
    <t>Money Flow Multiplier</t>
  </si>
  <si>
    <t>Money Flow Volume</t>
  </si>
  <si>
    <t>ADL</t>
  </si>
  <si>
    <t>Accumulation Distribution Line and OBV</t>
  </si>
  <si>
    <t>Get more free spreadsheets 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</si>
</sst>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[$-1009]d\-mmm\-yy;@"/>
    <numFmt numFmtId="166" formatCode="0.000"/>
  </numFmts>
  <fonts count="7">
    <font>
      <sz val="11"/>
      <color theme="1"/>
      <name val="Calibri"/>
      <family val="2"/>
      <scheme val="minor"/>
    </font>
    <font>
      <sz val="12"/>
      <name val="宋体"/>
      <charset val="134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3" fillId="0" borderId="0" xfId="2"/>
    <xf numFmtId="0" fontId="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4" xfId="0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0" fontId="0" fillId="3" borderId="1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8" xfId="0" applyFill="1" applyBorder="1"/>
    <xf numFmtId="0" fontId="0" fillId="3" borderId="6" xfId="0" applyFill="1" applyBorder="1"/>
    <xf numFmtId="0" fontId="5" fillId="3" borderId="5" xfId="2" applyFont="1" applyFill="1" applyBorder="1"/>
    <xf numFmtId="165" fontId="0" fillId="2" borderId="6" xfId="0" applyNumberFormat="1" applyFill="1" applyBorder="1" applyAlignment="1">
      <alignment horizontal="center"/>
    </xf>
    <xf numFmtId="14" fontId="0" fillId="0" borderId="0" xfId="0" applyNumberFormat="1"/>
    <xf numFmtId="166" fontId="0" fillId="0" borderId="0" xfId="0" applyNumberFormat="1"/>
    <xf numFmtId="2" fontId="0" fillId="0" borderId="0" xfId="0" applyNumberForma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DDE7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Accumulation Distribution Line and OBV for BP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Close Price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Data!$A$2:$A$126</c:f>
              <c:numCache>
                <c:formatCode>m/d/yyyy</c:formatCode>
                <c:ptCount val="125"/>
                <c:pt idx="0">
                  <c:v>41641</c:v>
                </c:pt>
                <c:pt idx="1">
                  <c:v>41642</c:v>
                </c:pt>
                <c:pt idx="2">
                  <c:v>41645</c:v>
                </c:pt>
                <c:pt idx="3">
                  <c:v>41646</c:v>
                </c:pt>
                <c:pt idx="4">
                  <c:v>41647</c:v>
                </c:pt>
                <c:pt idx="5">
                  <c:v>41648</c:v>
                </c:pt>
                <c:pt idx="6">
                  <c:v>41649</c:v>
                </c:pt>
                <c:pt idx="7">
                  <c:v>41652</c:v>
                </c:pt>
                <c:pt idx="8">
                  <c:v>41653</c:v>
                </c:pt>
                <c:pt idx="9">
                  <c:v>41654</c:v>
                </c:pt>
                <c:pt idx="10">
                  <c:v>41655</c:v>
                </c:pt>
                <c:pt idx="11">
                  <c:v>41656</c:v>
                </c:pt>
                <c:pt idx="12">
                  <c:v>41660</c:v>
                </c:pt>
                <c:pt idx="13">
                  <c:v>41661</c:v>
                </c:pt>
                <c:pt idx="14">
                  <c:v>41662</c:v>
                </c:pt>
                <c:pt idx="15">
                  <c:v>41663</c:v>
                </c:pt>
                <c:pt idx="16">
                  <c:v>41666</c:v>
                </c:pt>
                <c:pt idx="17">
                  <c:v>41667</c:v>
                </c:pt>
                <c:pt idx="18">
                  <c:v>41668</c:v>
                </c:pt>
                <c:pt idx="19">
                  <c:v>41669</c:v>
                </c:pt>
                <c:pt idx="20">
                  <c:v>41670</c:v>
                </c:pt>
                <c:pt idx="21">
                  <c:v>41673</c:v>
                </c:pt>
                <c:pt idx="22">
                  <c:v>41674</c:v>
                </c:pt>
                <c:pt idx="23">
                  <c:v>41675</c:v>
                </c:pt>
                <c:pt idx="24">
                  <c:v>41676</c:v>
                </c:pt>
                <c:pt idx="25">
                  <c:v>41677</c:v>
                </c:pt>
                <c:pt idx="26">
                  <c:v>41680</c:v>
                </c:pt>
                <c:pt idx="27">
                  <c:v>41681</c:v>
                </c:pt>
                <c:pt idx="28">
                  <c:v>41682</c:v>
                </c:pt>
                <c:pt idx="29">
                  <c:v>41683</c:v>
                </c:pt>
                <c:pt idx="30">
                  <c:v>41684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41750</c:v>
                </c:pt>
                <c:pt idx="75">
                  <c:v>41751</c:v>
                </c:pt>
                <c:pt idx="76">
                  <c:v>41752</c:v>
                </c:pt>
                <c:pt idx="77">
                  <c:v>41753</c:v>
                </c:pt>
                <c:pt idx="78">
                  <c:v>41754</c:v>
                </c:pt>
                <c:pt idx="79">
                  <c:v>41757</c:v>
                </c:pt>
                <c:pt idx="80">
                  <c:v>41758</c:v>
                </c:pt>
                <c:pt idx="81">
                  <c:v>41759</c:v>
                </c:pt>
                <c:pt idx="82">
                  <c:v>41760</c:v>
                </c:pt>
                <c:pt idx="83">
                  <c:v>41761</c:v>
                </c:pt>
                <c:pt idx="84">
                  <c:v>41764</c:v>
                </c:pt>
                <c:pt idx="85">
                  <c:v>41765</c:v>
                </c:pt>
                <c:pt idx="86">
                  <c:v>41766</c:v>
                </c:pt>
                <c:pt idx="87">
                  <c:v>41767</c:v>
                </c:pt>
                <c:pt idx="88">
                  <c:v>41768</c:v>
                </c:pt>
                <c:pt idx="89">
                  <c:v>41771</c:v>
                </c:pt>
                <c:pt idx="90">
                  <c:v>41772</c:v>
                </c:pt>
                <c:pt idx="91">
                  <c:v>41773</c:v>
                </c:pt>
                <c:pt idx="92">
                  <c:v>41774</c:v>
                </c:pt>
                <c:pt idx="93">
                  <c:v>41775</c:v>
                </c:pt>
                <c:pt idx="94">
                  <c:v>41778</c:v>
                </c:pt>
                <c:pt idx="95">
                  <c:v>41779</c:v>
                </c:pt>
                <c:pt idx="96">
                  <c:v>41780</c:v>
                </c:pt>
                <c:pt idx="97">
                  <c:v>41781</c:v>
                </c:pt>
                <c:pt idx="98">
                  <c:v>41782</c:v>
                </c:pt>
                <c:pt idx="99">
                  <c:v>41786</c:v>
                </c:pt>
                <c:pt idx="100">
                  <c:v>41787</c:v>
                </c:pt>
                <c:pt idx="101">
                  <c:v>41788</c:v>
                </c:pt>
                <c:pt idx="102">
                  <c:v>41789</c:v>
                </c:pt>
                <c:pt idx="103">
                  <c:v>41792</c:v>
                </c:pt>
                <c:pt idx="104">
                  <c:v>41793</c:v>
                </c:pt>
                <c:pt idx="105">
                  <c:v>41794</c:v>
                </c:pt>
                <c:pt idx="106">
                  <c:v>41795</c:v>
                </c:pt>
                <c:pt idx="107">
                  <c:v>41796</c:v>
                </c:pt>
                <c:pt idx="108">
                  <c:v>41799</c:v>
                </c:pt>
                <c:pt idx="109">
                  <c:v>41800</c:v>
                </c:pt>
                <c:pt idx="110">
                  <c:v>41801</c:v>
                </c:pt>
                <c:pt idx="111">
                  <c:v>41802</c:v>
                </c:pt>
                <c:pt idx="112">
                  <c:v>41803</c:v>
                </c:pt>
                <c:pt idx="113">
                  <c:v>41806</c:v>
                </c:pt>
                <c:pt idx="114">
                  <c:v>41807</c:v>
                </c:pt>
                <c:pt idx="115">
                  <c:v>41808</c:v>
                </c:pt>
                <c:pt idx="116">
                  <c:v>41809</c:v>
                </c:pt>
                <c:pt idx="117">
                  <c:v>41810</c:v>
                </c:pt>
                <c:pt idx="118">
                  <c:v>41813</c:v>
                </c:pt>
                <c:pt idx="119">
                  <c:v>41814</c:v>
                </c:pt>
                <c:pt idx="120">
                  <c:v>41815</c:v>
                </c:pt>
                <c:pt idx="121">
                  <c:v>41816</c:v>
                </c:pt>
                <c:pt idx="122">
                  <c:v>41817</c:v>
                </c:pt>
                <c:pt idx="123">
                  <c:v>41820</c:v>
                </c:pt>
                <c:pt idx="124">
                  <c:v>41821</c:v>
                </c:pt>
              </c:numCache>
            </c:numRef>
          </c:cat>
          <c:val>
            <c:numRef>
              <c:f>Data!$E$2:$E$126</c:f>
              <c:numCache>
                <c:formatCode>General</c:formatCode>
                <c:ptCount val="125"/>
                <c:pt idx="0">
                  <c:v>47.98</c:v>
                </c:pt>
                <c:pt idx="1">
                  <c:v>47.87</c:v>
                </c:pt>
                <c:pt idx="2">
                  <c:v>48</c:v>
                </c:pt>
                <c:pt idx="3">
                  <c:v>48.55</c:v>
                </c:pt>
                <c:pt idx="4">
                  <c:v>48.73</c:v>
                </c:pt>
                <c:pt idx="5">
                  <c:v>48.85</c:v>
                </c:pt>
                <c:pt idx="6">
                  <c:v>49.2</c:v>
                </c:pt>
                <c:pt idx="7">
                  <c:v>48.15</c:v>
                </c:pt>
                <c:pt idx="8">
                  <c:v>48.34</c:v>
                </c:pt>
                <c:pt idx="9">
                  <c:v>48.1</c:v>
                </c:pt>
                <c:pt idx="10">
                  <c:v>47.91</c:v>
                </c:pt>
                <c:pt idx="11">
                  <c:v>48.2</c:v>
                </c:pt>
                <c:pt idx="12">
                  <c:v>48.53</c:v>
                </c:pt>
                <c:pt idx="13">
                  <c:v>49.04</c:v>
                </c:pt>
                <c:pt idx="14">
                  <c:v>48.63</c:v>
                </c:pt>
                <c:pt idx="15">
                  <c:v>47.75</c:v>
                </c:pt>
                <c:pt idx="16">
                  <c:v>47.25</c:v>
                </c:pt>
                <c:pt idx="17">
                  <c:v>47.48</c:v>
                </c:pt>
                <c:pt idx="18">
                  <c:v>47.27</c:v>
                </c:pt>
                <c:pt idx="19">
                  <c:v>47.41</c:v>
                </c:pt>
                <c:pt idx="20">
                  <c:v>46.89</c:v>
                </c:pt>
                <c:pt idx="21">
                  <c:v>46.11</c:v>
                </c:pt>
                <c:pt idx="22">
                  <c:v>46.27</c:v>
                </c:pt>
                <c:pt idx="23">
                  <c:v>46.04</c:v>
                </c:pt>
                <c:pt idx="24">
                  <c:v>47.32</c:v>
                </c:pt>
                <c:pt idx="25">
                  <c:v>47.61</c:v>
                </c:pt>
                <c:pt idx="26">
                  <c:v>47.5</c:v>
                </c:pt>
                <c:pt idx="27">
                  <c:v>48.61</c:v>
                </c:pt>
                <c:pt idx="28">
                  <c:v>48.38</c:v>
                </c:pt>
                <c:pt idx="29">
                  <c:v>48.45</c:v>
                </c:pt>
                <c:pt idx="30">
                  <c:v>48.81</c:v>
                </c:pt>
                <c:pt idx="31">
                  <c:v>49.41</c:v>
                </c:pt>
                <c:pt idx="32">
                  <c:v>49.33</c:v>
                </c:pt>
                <c:pt idx="33">
                  <c:v>49.86</c:v>
                </c:pt>
                <c:pt idx="34">
                  <c:v>49.81</c:v>
                </c:pt>
                <c:pt idx="35">
                  <c:v>50.27</c:v>
                </c:pt>
                <c:pt idx="36">
                  <c:v>50.67</c:v>
                </c:pt>
                <c:pt idx="37">
                  <c:v>50.42</c:v>
                </c:pt>
                <c:pt idx="38">
                  <c:v>50.41</c:v>
                </c:pt>
                <c:pt idx="39">
                  <c:v>50.61</c:v>
                </c:pt>
                <c:pt idx="40">
                  <c:v>49</c:v>
                </c:pt>
                <c:pt idx="41">
                  <c:v>49.34</c:v>
                </c:pt>
                <c:pt idx="42">
                  <c:v>48.82</c:v>
                </c:pt>
                <c:pt idx="43">
                  <c:v>48.79</c:v>
                </c:pt>
                <c:pt idx="44">
                  <c:v>48.43</c:v>
                </c:pt>
                <c:pt idx="45">
                  <c:v>48.44</c:v>
                </c:pt>
                <c:pt idx="46">
                  <c:v>48.22</c:v>
                </c:pt>
                <c:pt idx="47">
                  <c:v>48.21</c:v>
                </c:pt>
                <c:pt idx="48">
                  <c:v>47.59</c:v>
                </c:pt>
                <c:pt idx="49">
                  <c:v>47.69</c:v>
                </c:pt>
                <c:pt idx="50">
                  <c:v>47.66</c:v>
                </c:pt>
                <c:pt idx="51">
                  <c:v>47.56</c:v>
                </c:pt>
                <c:pt idx="52">
                  <c:v>47.32</c:v>
                </c:pt>
                <c:pt idx="53">
                  <c:v>46.52</c:v>
                </c:pt>
                <c:pt idx="54">
                  <c:v>46.51</c:v>
                </c:pt>
                <c:pt idx="55">
                  <c:v>46.7</c:v>
                </c:pt>
                <c:pt idx="56">
                  <c:v>47.01</c:v>
                </c:pt>
                <c:pt idx="57">
                  <c:v>46.97</c:v>
                </c:pt>
                <c:pt idx="58">
                  <c:v>47.57</c:v>
                </c:pt>
                <c:pt idx="59">
                  <c:v>48.37</c:v>
                </c:pt>
                <c:pt idx="60">
                  <c:v>48.1</c:v>
                </c:pt>
                <c:pt idx="61">
                  <c:v>48.44</c:v>
                </c:pt>
                <c:pt idx="62">
                  <c:v>48.44</c:v>
                </c:pt>
                <c:pt idx="63">
                  <c:v>48.32</c:v>
                </c:pt>
                <c:pt idx="64">
                  <c:v>48.45</c:v>
                </c:pt>
                <c:pt idx="65">
                  <c:v>48.11</c:v>
                </c:pt>
                <c:pt idx="66">
                  <c:v>47.96</c:v>
                </c:pt>
                <c:pt idx="67">
                  <c:v>48.78</c:v>
                </c:pt>
                <c:pt idx="68">
                  <c:v>48.28</c:v>
                </c:pt>
                <c:pt idx="69">
                  <c:v>47.45</c:v>
                </c:pt>
                <c:pt idx="70">
                  <c:v>47.54</c:v>
                </c:pt>
                <c:pt idx="71">
                  <c:v>47.77</c:v>
                </c:pt>
                <c:pt idx="72">
                  <c:v>48.39</c:v>
                </c:pt>
                <c:pt idx="73">
                  <c:v>48.88</c:v>
                </c:pt>
                <c:pt idx="74">
                  <c:v>49.03</c:v>
                </c:pt>
                <c:pt idx="75">
                  <c:v>49.04</c:v>
                </c:pt>
                <c:pt idx="76">
                  <c:v>48.81</c:v>
                </c:pt>
                <c:pt idx="77">
                  <c:v>49.39</c:v>
                </c:pt>
                <c:pt idx="78">
                  <c:v>49.72</c:v>
                </c:pt>
                <c:pt idx="79">
                  <c:v>49.04</c:v>
                </c:pt>
                <c:pt idx="80">
                  <c:v>50.29</c:v>
                </c:pt>
                <c:pt idx="81">
                  <c:v>50.62</c:v>
                </c:pt>
                <c:pt idx="82">
                  <c:v>50.4</c:v>
                </c:pt>
                <c:pt idx="83">
                  <c:v>50.87</c:v>
                </c:pt>
                <c:pt idx="84">
                  <c:v>50.81</c:v>
                </c:pt>
                <c:pt idx="85">
                  <c:v>51.12</c:v>
                </c:pt>
                <c:pt idx="86">
                  <c:v>51.02</c:v>
                </c:pt>
                <c:pt idx="87">
                  <c:v>50.78</c:v>
                </c:pt>
                <c:pt idx="88">
                  <c:v>50.56</c:v>
                </c:pt>
                <c:pt idx="89">
                  <c:v>50.7</c:v>
                </c:pt>
                <c:pt idx="90">
                  <c:v>50.51</c:v>
                </c:pt>
                <c:pt idx="91">
                  <c:v>50.43</c:v>
                </c:pt>
                <c:pt idx="92">
                  <c:v>50.9</c:v>
                </c:pt>
                <c:pt idx="93">
                  <c:v>51.3</c:v>
                </c:pt>
                <c:pt idx="94">
                  <c:v>51.36</c:v>
                </c:pt>
                <c:pt idx="95">
                  <c:v>50.91</c:v>
                </c:pt>
                <c:pt idx="96">
                  <c:v>51.47</c:v>
                </c:pt>
                <c:pt idx="97">
                  <c:v>51.21</c:v>
                </c:pt>
                <c:pt idx="98">
                  <c:v>51.1</c:v>
                </c:pt>
                <c:pt idx="99">
                  <c:v>50.7</c:v>
                </c:pt>
                <c:pt idx="100">
                  <c:v>50.67</c:v>
                </c:pt>
                <c:pt idx="101">
                  <c:v>50.65</c:v>
                </c:pt>
                <c:pt idx="102">
                  <c:v>50.45</c:v>
                </c:pt>
                <c:pt idx="103">
                  <c:v>50.58</c:v>
                </c:pt>
                <c:pt idx="104">
                  <c:v>50.52</c:v>
                </c:pt>
                <c:pt idx="105">
                  <c:v>50.07</c:v>
                </c:pt>
                <c:pt idx="106">
                  <c:v>50.44</c:v>
                </c:pt>
                <c:pt idx="107">
                  <c:v>50.81</c:v>
                </c:pt>
                <c:pt idx="108">
                  <c:v>50.84</c:v>
                </c:pt>
                <c:pt idx="109">
                  <c:v>50.95</c:v>
                </c:pt>
                <c:pt idx="110">
                  <c:v>50.86</c:v>
                </c:pt>
                <c:pt idx="111">
                  <c:v>51.34</c:v>
                </c:pt>
                <c:pt idx="112">
                  <c:v>51.68</c:v>
                </c:pt>
                <c:pt idx="113">
                  <c:v>51.74</c:v>
                </c:pt>
                <c:pt idx="114">
                  <c:v>51.64</c:v>
                </c:pt>
                <c:pt idx="115">
                  <c:v>52.67</c:v>
                </c:pt>
                <c:pt idx="116">
                  <c:v>52.67</c:v>
                </c:pt>
                <c:pt idx="117">
                  <c:v>52.78</c:v>
                </c:pt>
                <c:pt idx="118">
                  <c:v>53.07</c:v>
                </c:pt>
                <c:pt idx="119">
                  <c:v>52.84</c:v>
                </c:pt>
                <c:pt idx="120">
                  <c:v>52.62</c:v>
                </c:pt>
                <c:pt idx="121">
                  <c:v>52.75</c:v>
                </c:pt>
                <c:pt idx="122">
                  <c:v>52.6</c:v>
                </c:pt>
                <c:pt idx="123">
                  <c:v>52.75</c:v>
                </c:pt>
                <c:pt idx="124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000568"/>
        <c:axId val="199000960"/>
      </c:lineChart>
      <c:lineChart>
        <c:grouping val="standard"/>
        <c:varyColors val="0"/>
        <c:ser>
          <c:idx val="1"/>
          <c:order val="1"/>
          <c:tx>
            <c:v>Accumulation Distribution Line</c:v>
          </c:tx>
          <c:spPr>
            <a:ln w="12700"/>
          </c:spPr>
          <c:marker>
            <c:symbol val="none"/>
          </c:marker>
          <c:cat>
            <c:numRef>
              <c:f>Data!$A$2:$A$126</c:f>
              <c:numCache>
                <c:formatCode>m/d/yyyy</c:formatCode>
                <c:ptCount val="125"/>
                <c:pt idx="0">
                  <c:v>41641</c:v>
                </c:pt>
                <c:pt idx="1">
                  <c:v>41642</c:v>
                </c:pt>
                <c:pt idx="2">
                  <c:v>41645</c:v>
                </c:pt>
                <c:pt idx="3">
                  <c:v>41646</c:v>
                </c:pt>
                <c:pt idx="4">
                  <c:v>41647</c:v>
                </c:pt>
                <c:pt idx="5">
                  <c:v>41648</c:v>
                </c:pt>
                <c:pt idx="6">
                  <c:v>41649</c:v>
                </c:pt>
                <c:pt idx="7">
                  <c:v>41652</c:v>
                </c:pt>
                <c:pt idx="8">
                  <c:v>41653</c:v>
                </c:pt>
                <c:pt idx="9">
                  <c:v>41654</c:v>
                </c:pt>
                <c:pt idx="10">
                  <c:v>41655</c:v>
                </c:pt>
                <c:pt idx="11">
                  <c:v>41656</c:v>
                </c:pt>
                <c:pt idx="12">
                  <c:v>41660</c:v>
                </c:pt>
                <c:pt idx="13">
                  <c:v>41661</c:v>
                </c:pt>
                <c:pt idx="14">
                  <c:v>41662</c:v>
                </c:pt>
                <c:pt idx="15">
                  <c:v>41663</c:v>
                </c:pt>
                <c:pt idx="16">
                  <c:v>41666</c:v>
                </c:pt>
                <c:pt idx="17">
                  <c:v>41667</c:v>
                </c:pt>
                <c:pt idx="18">
                  <c:v>41668</c:v>
                </c:pt>
                <c:pt idx="19">
                  <c:v>41669</c:v>
                </c:pt>
                <c:pt idx="20">
                  <c:v>41670</c:v>
                </c:pt>
                <c:pt idx="21">
                  <c:v>41673</c:v>
                </c:pt>
                <c:pt idx="22">
                  <c:v>41674</c:v>
                </c:pt>
                <c:pt idx="23">
                  <c:v>41675</c:v>
                </c:pt>
                <c:pt idx="24">
                  <c:v>41676</c:v>
                </c:pt>
                <c:pt idx="25">
                  <c:v>41677</c:v>
                </c:pt>
                <c:pt idx="26">
                  <c:v>41680</c:v>
                </c:pt>
                <c:pt idx="27">
                  <c:v>41681</c:v>
                </c:pt>
                <c:pt idx="28">
                  <c:v>41682</c:v>
                </c:pt>
                <c:pt idx="29">
                  <c:v>41683</c:v>
                </c:pt>
                <c:pt idx="30">
                  <c:v>41684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41750</c:v>
                </c:pt>
                <c:pt idx="75">
                  <c:v>41751</c:v>
                </c:pt>
                <c:pt idx="76">
                  <c:v>41752</c:v>
                </c:pt>
                <c:pt idx="77">
                  <c:v>41753</c:v>
                </c:pt>
                <c:pt idx="78">
                  <c:v>41754</c:v>
                </c:pt>
                <c:pt idx="79">
                  <c:v>41757</c:v>
                </c:pt>
                <c:pt idx="80">
                  <c:v>41758</c:v>
                </c:pt>
                <c:pt idx="81">
                  <c:v>41759</c:v>
                </c:pt>
                <c:pt idx="82">
                  <c:v>41760</c:v>
                </c:pt>
                <c:pt idx="83">
                  <c:v>41761</c:v>
                </c:pt>
                <c:pt idx="84">
                  <c:v>41764</c:v>
                </c:pt>
                <c:pt idx="85">
                  <c:v>41765</c:v>
                </c:pt>
                <c:pt idx="86">
                  <c:v>41766</c:v>
                </c:pt>
                <c:pt idx="87">
                  <c:v>41767</c:v>
                </c:pt>
                <c:pt idx="88">
                  <c:v>41768</c:v>
                </c:pt>
                <c:pt idx="89">
                  <c:v>41771</c:v>
                </c:pt>
                <c:pt idx="90">
                  <c:v>41772</c:v>
                </c:pt>
                <c:pt idx="91">
                  <c:v>41773</c:v>
                </c:pt>
                <c:pt idx="92">
                  <c:v>41774</c:v>
                </c:pt>
                <c:pt idx="93">
                  <c:v>41775</c:v>
                </c:pt>
                <c:pt idx="94">
                  <c:v>41778</c:v>
                </c:pt>
                <c:pt idx="95">
                  <c:v>41779</c:v>
                </c:pt>
                <c:pt idx="96">
                  <c:v>41780</c:v>
                </c:pt>
                <c:pt idx="97">
                  <c:v>41781</c:v>
                </c:pt>
                <c:pt idx="98">
                  <c:v>41782</c:v>
                </c:pt>
                <c:pt idx="99">
                  <c:v>41786</c:v>
                </c:pt>
                <c:pt idx="100">
                  <c:v>41787</c:v>
                </c:pt>
                <c:pt idx="101">
                  <c:v>41788</c:v>
                </c:pt>
                <c:pt idx="102">
                  <c:v>41789</c:v>
                </c:pt>
                <c:pt idx="103">
                  <c:v>41792</c:v>
                </c:pt>
                <c:pt idx="104">
                  <c:v>41793</c:v>
                </c:pt>
                <c:pt idx="105">
                  <c:v>41794</c:v>
                </c:pt>
                <c:pt idx="106">
                  <c:v>41795</c:v>
                </c:pt>
                <c:pt idx="107">
                  <c:v>41796</c:v>
                </c:pt>
                <c:pt idx="108">
                  <c:v>41799</c:v>
                </c:pt>
                <c:pt idx="109">
                  <c:v>41800</c:v>
                </c:pt>
                <c:pt idx="110">
                  <c:v>41801</c:v>
                </c:pt>
                <c:pt idx="111">
                  <c:v>41802</c:v>
                </c:pt>
                <c:pt idx="112">
                  <c:v>41803</c:v>
                </c:pt>
                <c:pt idx="113">
                  <c:v>41806</c:v>
                </c:pt>
                <c:pt idx="114">
                  <c:v>41807</c:v>
                </c:pt>
                <c:pt idx="115">
                  <c:v>41808</c:v>
                </c:pt>
                <c:pt idx="116">
                  <c:v>41809</c:v>
                </c:pt>
                <c:pt idx="117">
                  <c:v>41810</c:v>
                </c:pt>
                <c:pt idx="118">
                  <c:v>41813</c:v>
                </c:pt>
                <c:pt idx="119">
                  <c:v>41814</c:v>
                </c:pt>
                <c:pt idx="120">
                  <c:v>41815</c:v>
                </c:pt>
                <c:pt idx="121">
                  <c:v>41816</c:v>
                </c:pt>
                <c:pt idx="122">
                  <c:v>41817</c:v>
                </c:pt>
                <c:pt idx="123">
                  <c:v>41820</c:v>
                </c:pt>
                <c:pt idx="124">
                  <c:v>41821</c:v>
                </c:pt>
              </c:numCache>
            </c:numRef>
          </c:cat>
          <c:val>
            <c:numRef>
              <c:f>Data!$K$2:$K$126</c:f>
              <c:numCache>
                <c:formatCode>0.00</c:formatCode>
                <c:ptCount val="125"/>
                <c:pt idx="0">
                  <c:v>-3187045.4545455105</c:v>
                </c:pt>
                <c:pt idx="1">
                  <c:v>-8215409.0909092445</c:v>
                </c:pt>
                <c:pt idx="2">
                  <c:v>-10577250.267379818</c:v>
                </c:pt>
                <c:pt idx="3">
                  <c:v>-7617386.6310162703</c:v>
                </c:pt>
                <c:pt idx="4">
                  <c:v>-5037393.5275681671</c:v>
                </c:pt>
                <c:pt idx="5">
                  <c:v>-9715226.8609015252</c:v>
                </c:pt>
                <c:pt idx="6">
                  <c:v>-4405126.8609015252</c:v>
                </c:pt>
                <c:pt idx="7">
                  <c:v>-11621583.271157997</c:v>
                </c:pt>
                <c:pt idx="8">
                  <c:v>-9344508.2711577769</c:v>
                </c:pt>
                <c:pt idx="9">
                  <c:v>-14839679.00286505</c:v>
                </c:pt>
                <c:pt idx="10">
                  <c:v>-16261491.502865069</c:v>
                </c:pt>
                <c:pt idx="11">
                  <c:v>-17282830.633299738</c:v>
                </c:pt>
                <c:pt idx="12">
                  <c:v>-16982648.280358512</c:v>
                </c:pt>
                <c:pt idx="13">
                  <c:v>-12530948.280358445</c:v>
                </c:pt>
                <c:pt idx="14">
                  <c:v>-14230919.708929831</c:v>
                </c:pt>
                <c:pt idx="15">
                  <c:v>-22819540.588050649</c:v>
                </c:pt>
                <c:pt idx="16">
                  <c:v>-24571296.520254057</c:v>
                </c:pt>
                <c:pt idx="17">
                  <c:v>-24082092.816550456</c:v>
                </c:pt>
                <c:pt idx="18">
                  <c:v>-23152938.970396522</c:v>
                </c:pt>
                <c:pt idx="19">
                  <c:v>-22615696.113253713</c:v>
                </c:pt>
                <c:pt idx="20">
                  <c:v>-23166137.096860215</c:v>
                </c:pt>
                <c:pt idx="21">
                  <c:v>-27029362.678255547</c:v>
                </c:pt>
                <c:pt idx="22">
                  <c:v>-26868299.041891888</c:v>
                </c:pt>
                <c:pt idx="23">
                  <c:v>-27535516.688950729</c:v>
                </c:pt>
                <c:pt idx="24">
                  <c:v>-22137100.409880951</c:v>
                </c:pt>
                <c:pt idx="25">
                  <c:v>-19819109.500790033</c:v>
                </c:pt>
                <c:pt idx="26">
                  <c:v>-17386409.500790033</c:v>
                </c:pt>
                <c:pt idx="27">
                  <c:v>-14150459.500790056</c:v>
                </c:pt>
                <c:pt idx="28">
                  <c:v>-14879175.290263677</c:v>
                </c:pt>
                <c:pt idx="29">
                  <c:v>-13177095.290263612</c:v>
                </c:pt>
                <c:pt idx="30">
                  <c:v>-12169823.861692162</c:v>
                </c:pt>
                <c:pt idx="31">
                  <c:v>-14073407.645476123</c:v>
                </c:pt>
                <c:pt idx="32">
                  <c:v>-16703471.645476222</c:v>
                </c:pt>
                <c:pt idx="33">
                  <c:v>-13232943.074047698</c:v>
                </c:pt>
                <c:pt idx="34">
                  <c:v>-18087756.710411228</c:v>
                </c:pt>
                <c:pt idx="35">
                  <c:v>-18225999.567554057</c:v>
                </c:pt>
                <c:pt idx="36">
                  <c:v>-19748548.720096413</c:v>
                </c:pt>
                <c:pt idx="37">
                  <c:v>-21395715.386763081</c:v>
                </c:pt>
                <c:pt idx="38">
                  <c:v>-19533782.053429812</c:v>
                </c:pt>
                <c:pt idx="39">
                  <c:v>-18997459.472784691</c:v>
                </c:pt>
                <c:pt idx="40">
                  <c:v>-26642051.309519388</c:v>
                </c:pt>
                <c:pt idx="41">
                  <c:v>-23306790.333909478</c:v>
                </c:pt>
                <c:pt idx="42">
                  <c:v>-25296274.949294079</c:v>
                </c:pt>
                <c:pt idx="43">
                  <c:v>-25155908.282627441</c:v>
                </c:pt>
                <c:pt idx="44">
                  <c:v>-23545617.373536583</c:v>
                </c:pt>
                <c:pt idx="45">
                  <c:v>-21164179.873536665</c:v>
                </c:pt>
                <c:pt idx="46">
                  <c:v>-22758668.762425557</c:v>
                </c:pt>
                <c:pt idx="47">
                  <c:v>-22215806.693460036</c:v>
                </c:pt>
                <c:pt idx="48">
                  <c:v>-25285015.995785616</c:v>
                </c:pt>
                <c:pt idx="49">
                  <c:v>-24612481.513027128</c:v>
                </c:pt>
                <c:pt idx="50">
                  <c:v>-23499592.624138262</c:v>
                </c:pt>
                <c:pt idx="51">
                  <c:v>-23170369.094726443</c:v>
                </c:pt>
                <c:pt idx="52">
                  <c:v>-25178143.288274795</c:v>
                </c:pt>
                <c:pt idx="53">
                  <c:v>-21972879.185710359</c:v>
                </c:pt>
                <c:pt idx="54">
                  <c:v>-29266526.554131493</c:v>
                </c:pt>
                <c:pt idx="55">
                  <c:v>-26184246.554131448</c:v>
                </c:pt>
                <c:pt idx="56">
                  <c:v>-23311330.425099239</c:v>
                </c:pt>
                <c:pt idx="57">
                  <c:v>-28374330.425099239</c:v>
                </c:pt>
                <c:pt idx="58">
                  <c:v>-25417259.516008355</c:v>
                </c:pt>
                <c:pt idx="59">
                  <c:v>-20480131.823700655</c:v>
                </c:pt>
                <c:pt idx="60">
                  <c:v>-22339610.084570177</c:v>
                </c:pt>
                <c:pt idx="61">
                  <c:v>-20510537.357297588</c:v>
                </c:pt>
                <c:pt idx="62">
                  <c:v>-26028670.690631058</c:v>
                </c:pt>
                <c:pt idx="63">
                  <c:v>-25925063.283223674</c:v>
                </c:pt>
                <c:pt idx="64">
                  <c:v>-28880428.500614911</c:v>
                </c:pt>
                <c:pt idx="65">
                  <c:v>-31127302.184825461</c:v>
                </c:pt>
                <c:pt idx="66">
                  <c:v>-33731613.505580187</c:v>
                </c:pt>
                <c:pt idx="67">
                  <c:v>-30737215.200495411</c:v>
                </c:pt>
                <c:pt idx="68">
                  <c:v>-33566186.629066847</c:v>
                </c:pt>
                <c:pt idx="69">
                  <c:v>-39949486.629066847</c:v>
                </c:pt>
                <c:pt idx="70">
                  <c:v>-38919871.477551684</c:v>
                </c:pt>
                <c:pt idx="71">
                  <c:v>-37544862.386642531</c:v>
                </c:pt>
                <c:pt idx="72">
                  <c:v>-34443662.386642531</c:v>
                </c:pt>
                <c:pt idx="73">
                  <c:v>-32267758.038816385</c:v>
                </c:pt>
                <c:pt idx="74">
                  <c:v>-31448571.831919864</c:v>
                </c:pt>
                <c:pt idx="75">
                  <c:v>-32398467.831919901</c:v>
                </c:pt>
                <c:pt idx="76">
                  <c:v>-33251867.831919827</c:v>
                </c:pt>
                <c:pt idx="77">
                  <c:v>-30312549.3134013</c:v>
                </c:pt>
                <c:pt idx="78">
                  <c:v>-33689120.741972812</c:v>
                </c:pt>
                <c:pt idx="79">
                  <c:v>-35577291.853083931</c:v>
                </c:pt>
                <c:pt idx="80">
                  <c:v>-36445484.258147188</c:v>
                </c:pt>
                <c:pt idx="81">
                  <c:v>-34930115.837094732</c:v>
                </c:pt>
                <c:pt idx="82">
                  <c:v>-35130903.337094761</c:v>
                </c:pt>
                <c:pt idx="83">
                  <c:v>-32642478.337094836</c:v>
                </c:pt>
                <c:pt idx="84">
                  <c:v>-31248209.587094761</c:v>
                </c:pt>
                <c:pt idx="85">
                  <c:v>-29609512.812901255</c:v>
                </c:pt>
                <c:pt idx="86">
                  <c:v>-29463759.621411819</c:v>
                </c:pt>
                <c:pt idx="87">
                  <c:v>-36117508.80173973</c:v>
                </c:pt>
                <c:pt idx="88">
                  <c:v>-36314897.690628581</c:v>
                </c:pt>
                <c:pt idx="89">
                  <c:v>-38978084.787402734</c:v>
                </c:pt>
                <c:pt idx="90">
                  <c:v>-39178646.6921646</c:v>
                </c:pt>
                <c:pt idx="91">
                  <c:v>-39512903.554909699</c:v>
                </c:pt>
                <c:pt idx="92">
                  <c:v>-34070086.63183286</c:v>
                </c:pt>
                <c:pt idx="93">
                  <c:v>-31432878.468567602</c:v>
                </c:pt>
                <c:pt idx="94">
                  <c:v>-30735096.650385819</c:v>
                </c:pt>
                <c:pt idx="95">
                  <c:v>-32292886.124070097</c:v>
                </c:pt>
                <c:pt idx="96">
                  <c:v>-30800944.74475985</c:v>
                </c:pt>
                <c:pt idx="97">
                  <c:v>-32183467.82168287</c:v>
                </c:pt>
                <c:pt idx="98">
                  <c:v>-31891192.821682826</c:v>
                </c:pt>
                <c:pt idx="99">
                  <c:v>-34829490.118980095</c:v>
                </c:pt>
                <c:pt idx="100">
                  <c:v>-37037262.118980028</c:v>
                </c:pt>
                <c:pt idx="101">
                  <c:v>-37949804.224243291</c:v>
                </c:pt>
                <c:pt idx="102">
                  <c:v>-38634645.603553638</c:v>
                </c:pt>
                <c:pt idx="103">
                  <c:v>-40954596.954905063</c:v>
                </c:pt>
                <c:pt idx="104">
                  <c:v>-39062942.409450501</c:v>
                </c:pt>
                <c:pt idx="105">
                  <c:v>-36473762.409450404</c:v>
                </c:pt>
                <c:pt idx="106">
                  <c:v>-35078021.232979812</c:v>
                </c:pt>
                <c:pt idx="107">
                  <c:v>-32903291.000421677</c:v>
                </c:pt>
                <c:pt idx="108">
                  <c:v>-32546741.000421613</c:v>
                </c:pt>
                <c:pt idx="109">
                  <c:v>-30300116.000421599</c:v>
                </c:pt>
                <c:pt idx="110">
                  <c:v>-30108504.889310479</c:v>
                </c:pt>
                <c:pt idx="111">
                  <c:v>-29725568.525674086</c:v>
                </c:pt>
                <c:pt idx="112">
                  <c:v>-32321312.52567403</c:v>
                </c:pt>
                <c:pt idx="113">
                  <c:v>-30731585.25294669</c:v>
                </c:pt>
                <c:pt idx="114">
                  <c:v>-28748251.919613332</c:v>
                </c:pt>
                <c:pt idx="115">
                  <c:v>-25025251.919613302</c:v>
                </c:pt>
                <c:pt idx="116">
                  <c:v>-26787231.919613242</c:v>
                </c:pt>
                <c:pt idx="117">
                  <c:v>-28978067.213730875</c:v>
                </c:pt>
                <c:pt idx="118">
                  <c:v>-28103854.170252595</c:v>
                </c:pt>
                <c:pt idx="119">
                  <c:v>-33030539.884538263</c:v>
                </c:pt>
                <c:pt idx="120">
                  <c:v>-33256617.15726557</c:v>
                </c:pt>
                <c:pt idx="121">
                  <c:v>-31409902.231892459</c:v>
                </c:pt>
                <c:pt idx="122">
                  <c:v>-30454015.135118235</c:v>
                </c:pt>
                <c:pt idx="123">
                  <c:v>-30091431.801784914</c:v>
                </c:pt>
                <c:pt idx="124">
                  <c:v>-29025180.077647023</c:v>
                </c:pt>
              </c:numCache>
            </c:numRef>
          </c:val>
          <c:smooth val="0"/>
        </c:ser>
        <c:ser>
          <c:idx val="2"/>
          <c:order val="2"/>
          <c:tx>
            <c:v>On Balance Volume</c:v>
          </c:tx>
          <c:spPr>
            <a:ln w="12700"/>
          </c:spPr>
          <c:marker>
            <c:symbol val="none"/>
          </c:marker>
          <c:cat>
            <c:numRef>
              <c:f>Data!$A$2:$A$126</c:f>
              <c:numCache>
                <c:formatCode>m/d/yyyy</c:formatCode>
                <c:ptCount val="125"/>
                <c:pt idx="0">
                  <c:v>41641</c:v>
                </c:pt>
                <c:pt idx="1">
                  <c:v>41642</c:v>
                </c:pt>
                <c:pt idx="2">
                  <c:v>41645</c:v>
                </c:pt>
                <c:pt idx="3">
                  <c:v>41646</c:v>
                </c:pt>
                <c:pt idx="4">
                  <c:v>41647</c:v>
                </c:pt>
                <c:pt idx="5">
                  <c:v>41648</c:v>
                </c:pt>
                <c:pt idx="6">
                  <c:v>41649</c:v>
                </c:pt>
                <c:pt idx="7">
                  <c:v>41652</c:v>
                </c:pt>
                <c:pt idx="8">
                  <c:v>41653</c:v>
                </c:pt>
                <c:pt idx="9">
                  <c:v>41654</c:v>
                </c:pt>
                <c:pt idx="10">
                  <c:v>41655</c:v>
                </c:pt>
                <c:pt idx="11">
                  <c:v>41656</c:v>
                </c:pt>
                <c:pt idx="12">
                  <c:v>41660</c:v>
                </c:pt>
                <c:pt idx="13">
                  <c:v>41661</c:v>
                </c:pt>
                <c:pt idx="14">
                  <c:v>41662</c:v>
                </c:pt>
                <c:pt idx="15">
                  <c:v>41663</c:v>
                </c:pt>
                <c:pt idx="16">
                  <c:v>41666</c:v>
                </c:pt>
                <c:pt idx="17">
                  <c:v>41667</c:v>
                </c:pt>
                <c:pt idx="18">
                  <c:v>41668</c:v>
                </c:pt>
                <c:pt idx="19">
                  <c:v>41669</c:v>
                </c:pt>
                <c:pt idx="20">
                  <c:v>41670</c:v>
                </c:pt>
                <c:pt idx="21">
                  <c:v>41673</c:v>
                </c:pt>
                <c:pt idx="22">
                  <c:v>41674</c:v>
                </c:pt>
                <c:pt idx="23">
                  <c:v>41675</c:v>
                </c:pt>
                <c:pt idx="24">
                  <c:v>41676</c:v>
                </c:pt>
                <c:pt idx="25">
                  <c:v>41677</c:v>
                </c:pt>
                <c:pt idx="26">
                  <c:v>41680</c:v>
                </c:pt>
                <c:pt idx="27">
                  <c:v>41681</c:v>
                </c:pt>
                <c:pt idx="28">
                  <c:v>41682</c:v>
                </c:pt>
                <c:pt idx="29">
                  <c:v>41683</c:v>
                </c:pt>
                <c:pt idx="30">
                  <c:v>41684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41750</c:v>
                </c:pt>
                <c:pt idx="75">
                  <c:v>41751</c:v>
                </c:pt>
                <c:pt idx="76">
                  <c:v>41752</c:v>
                </c:pt>
                <c:pt idx="77">
                  <c:v>41753</c:v>
                </c:pt>
                <c:pt idx="78">
                  <c:v>41754</c:v>
                </c:pt>
                <c:pt idx="79">
                  <c:v>41757</c:v>
                </c:pt>
                <c:pt idx="80">
                  <c:v>41758</c:v>
                </c:pt>
                <c:pt idx="81">
                  <c:v>41759</c:v>
                </c:pt>
                <c:pt idx="82">
                  <c:v>41760</c:v>
                </c:pt>
                <c:pt idx="83">
                  <c:v>41761</c:v>
                </c:pt>
                <c:pt idx="84">
                  <c:v>41764</c:v>
                </c:pt>
                <c:pt idx="85">
                  <c:v>41765</c:v>
                </c:pt>
                <c:pt idx="86">
                  <c:v>41766</c:v>
                </c:pt>
                <c:pt idx="87">
                  <c:v>41767</c:v>
                </c:pt>
                <c:pt idx="88">
                  <c:v>41768</c:v>
                </c:pt>
                <c:pt idx="89">
                  <c:v>41771</c:v>
                </c:pt>
                <c:pt idx="90">
                  <c:v>41772</c:v>
                </c:pt>
                <c:pt idx="91">
                  <c:v>41773</c:v>
                </c:pt>
                <c:pt idx="92">
                  <c:v>41774</c:v>
                </c:pt>
                <c:pt idx="93">
                  <c:v>41775</c:v>
                </c:pt>
                <c:pt idx="94">
                  <c:v>41778</c:v>
                </c:pt>
                <c:pt idx="95">
                  <c:v>41779</c:v>
                </c:pt>
                <c:pt idx="96">
                  <c:v>41780</c:v>
                </c:pt>
                <c:pt idx="97">
                  <c:v>41781</c:v>
                </c:pt>
                <c:pt idx="98">
                  <c:v>41782</c:v>
                </c:pt>
                <c:pt idx="99">
                  <c:v>41786</c:v>
                </c:pt>
                <c:pt idx="100">
                  <c:v>41787</c:v>
                </c:pt>
                <c:pt idx="101">
                  <c:v>41788</c:v>
                </c:pt>
                <c:pt idx="102">
                  <c:v>41789</c:v>
                </c:pt>
                <c:pt idx="103">
                  <c:v>41792</c:v>
                </c:pt>
                <c:pt idx="104">
                  <c:v>41793</c:v>
                </c:pt>
                <c:pt idx="105">
                  <c:v>41794</c:v>
                </c:pt>
                <c:pt idx="106">
                  <c:v>41795</c:v>
                </c:pt>
                <c:pt idx="107">
                  <c:v>41796</c:v>
                </c:pt>
                <c:pt idx="108">
                  <c:v>41799</c:v>
                </c:pt>
                <c:pt idx="109">
                  <c:v>41800</c:v>
                </c:pt>
                <c:pt idx="110">
                  <c:v>41801</c:v>
                </c:pt>
                <c:pt idx="111">
                  <c:v>41802</c:v>
                </c:pt>
                <c:pt idx="112">
                  <c:v>41803</c:v>
                </c:pt>
                <c:pt idx="113">
                  <c:v>41806</c:v>
                </c:pt>
                <c:pt idx="114">
                  <c:v>41807</c:v>
                </c:pt>
                <c:pt idx="115">
                  <c:v>41808</c:v>
                </c:pt>
                <c:pt idx="116">
                  <c:v>41809</c:v>
                </c:pt>
                <c:pt idx="117">
                  <c:v>41810</c:v>
                </c:pt>
                <c:pt idx="118">
                  <c:v>41813</c:v>
                </c:pt>
                <c:pt idx="119">
                  <c:v>41814</c:v>
                </c:pt>
                <c:pt idx="120">
                  <c:v>41815</c:v>
                </c:pt>
                <c:pt idx="121">
                  <c:v>41816</c:v>
                </c:pt>
                <c:pt idx="122">
                  <c:v>41817</c:v>
                </c:pt>
                <c:pt idx="123">
                  <c:v>41820</c:v>
                </c:pt>
                <c:pt idx="124">
                  <c:v>41821</c:v>
                </c:pt>
              </c:numCache>
            </c:numRef>
          </c:cat>
          <c:val>
            <c:numRef>
              <c:f>Data!$H$2:$H$126</c:f>
              <c:numCache>
                <c:formatCode>General</c:formatCode>
                <c:ptCount val="125"/>
                <c:pt idx="0">
                  <c:v>4737500</c:v>
                </c:pt>
                <c:pt idx="1">
                  <c:v>-793700</c:v>
                </c:pt>
                <c:pt idx="2">
                  <c:v>4942200</c:v>
                </c:pt>
                <c:pt idx="3">
                  <c:v>12455700</c:v>
                </c:pt>
                <c:pt idx="4">
                  <c:v>19257500</c:v>
                </c:pt>
                <c:pt idx="5">
                  <c:v>26814000</c:v>
                </c:pt>
                <c:pt idx="6">
                  <c:v>32124100</c:v>
                </c:pt>
                <c:pt idx="7">
                  <c:v>23846400</c:v>
                </c:pt>
                <c:pt idx="8">
                  <c:v>29918600</c:v>
                </c:pt>
                <c:pt idx="9">
                  <c:v>23481400</c:v>
                </c:pt>
                <c:pt idx="10">
                  <c:v>18931600</c:v>
                </c:pt>
                <c:pt idx="11">
                  <c:v>24804300</c:v>
                </c:pt>
                <c:pt idx="12">
                  <c:v>29907400</c:v>
                </c:pt>
                <c:pt idx="13">
                  <c:v>38810800</c:v>
                </c:pt>
                <c:pt idx="14">
                  <c:v>32860900</c:v>
                </c:pt>
                <c:pt idx="15">
                  <c:v>23877400</c:v>
                </c:pt>
                <c:pt idx="16">
                  <c:v>18955800</c:v>
                </c:pt>
                <c:pt idx="17">
                  <c:v>21597500</c:v>
                </c:pt>
                <c:pt idx="18">
                  <c:v>16765900</c:v>
                </c:pt>
                <c:pt idx="19">
                  <c:v>20526600</c:v>
                </c:pt>
                <c:pt idx="20">
                  <c:v>15729900</c:v>
                </c:pt>
                <c:pt idx="21">
                  <c:v>10696000</c:v>
                </c:pt>
                <c:pt idx="22">
                  <c:v>16011100</c:v>
                </c:pt>
                <c:pt idx="23">
                  <c:v>12230200</c:v>
                </c:pt>
                <c:pt idx="24">
                  <c:v>18182300</c:v>
                </c:pt>
                <c:pt idx="25">
                  <c:v>21015400</c:v>
                </c:pt>
                <c:pt idx="26">
                  <c:v>18582700</c:v>
                </c:pt>
                <c:pt idx="27">
                  <c:v>23376700</c:v>
                </c:pt>
                <c:pt idx="28">
                  <c:v>18761500</c:v>
                </c:pt>
                <c:pt idx="29">
                  <c:v>22307500</c:v>
                </c:pt>
                <c:pt idx="30">
                  <c:v>24905200</c:v>
                </c:pt>
                <c:pt idx="31">
                  <c:v>34967000</c:v>
                </c:pt>
                <c:pt idx="32">
                  <c:v>29487700</c:v>
                </c:pt>
                <c:pt idx="33">
                  <c:v>37585600</c:v>
                </c:pt>
                <c:pt idx="34">
                  <c:v>31302900</c:v>
                </c:pt>
                <c:pt idx="35">
                  <c:v>40012200</c:v>
                </c:pt>
                <c:pt idx="36">
                  <c:v>48178600</c:v>
                </c:pt>
                <c:pt idx="37">
                  <c:v>43237100</c:v>
                </c:pt>
                <c:pt idx="38">
                  <c:v>37651300</c:v>
                </c:pt>
                <c:pt idx="39">
                  <c:v>43193300</c:v>
                </c:pt>
                <c:pt idx="40">
                  <c:v>33335800</c:v>
                </c:pt>
                <c:pt idx="41">
                  <c:v>39847500</c:v>
                </c:pt>
                <c:pt idx="42">
                  <c:v>34100100</c:v>
                </c:pt>
                <c:pt idx="43">
                  <c:v>29468000</c:v>
                </c:pt>
                <c:pt idx="44">
                  <c:v>23563600</c:v>
                </c:pt>
                <c:pt idx="45">
                  <c:v>26103800</c:v>
                </c:pt>
                <c:pt idx="46">
                  <c:v>23413100</c:v>
                </c:pt>
                <c:pt idx="47">
                  <c:v>21164100</c:v>
                </c:pt>
                <c:pt idx="48">
                  <c:v>17498100</c:v>
                </c:pt>
                <c:pt idx="49">
                  <c:v>21398800</c:v>
                </c:pt>
                <c:pt idx="50">
                  <c:v>16390800</c:v>
                </c:pt>
                <c:pt idx="51">
                  <c:v>10794000</c:v>
                </c:pt>
                <c:pt idx="52">
                  <c:v>6644600</c:v>
                </c:pt>
                <c:pt idx="53">
                  <c:v>-11213300</c:v>
                </c:pt>
                <c:pt idx="54">
                  <c:v>-26611000</c:v>
                </c:pt>
                <c:pt idx="55">
                  <c:v>-18905300</c:v>
                </c:pt>
                <c:pt idx="56">
                  <c:v>-13957500</c:v>
                </c:pt>
                <c:pt idx="57">
                  <c:v>-19020500</c:v>
                </c:pt>
                <c:pt idx="58">
                  <c:v>-15238200</c:v>
                </c:pt>
                <c:pt idx="59">
                  <c:v>-7775100</c:v>
                </c:pt>
                <c:pt idx="60">
                  <c:v>-12051900</c:v>
                </c:pt>
                <c:pt idx="61">
                  <c:v>-8698600</c:v>
                </c:pt>
                <c:pt idx="62">
                  <c:v>-8698600</c:v>
                </c:pt>
                <c:pt idx="63">
                  <c:v>-11496000</c:v>
                </c:pt>
                <c:pt idx="64">
                  <c:v>-7719700</c:v>
                </c:pt>
                <c:pt idx="65">
                  <c:v>-10091400</c:v>
                </c:pt>
                <c:pt idx="66">
                  <c:v>-13821900</c:v>
                </c:pt>
                <c:pt idx="67">
                  <c:v>-10216400</c:v>
                </c:pt>
                <c:pt idx="68">
                  <c:v>-13410400</c:v>
                </c:pt>
                <c:pt idx="69">
                  <c:v>-19793700</c:v>
                </c:pt>
                <c:pt idx="70">
                  <c:v>-14939800</c:v>
                </c:pt>
                <c:pt idx="71">
                  <c:v>-9898100</c:v>
                </c:pt>
                <c:pt idx="72">
                  <c:v>-6796900</c:v>
                </c:pt>
                <c:pt idx="73">
                  <c:v>-3222200</c:v>
                </c:pt>
                <c:pt idx="74">
                  <c:v>-582600</c:v>
                </c:pt>
                <c:pt idx="75">
                  <c:v>2056000</c:v>
                </c:pt>
                <c:pt idx="76">
                  <c:v>-1357600</c:v>
                </c:pt>
                <c:pt idx="77">
                  <c:v>3602500</c:v>
                </c:pt>
                <c:pt idx="78">
                  <c:v>8329700</c:v>
                </c:pt>
                <c:pt idx="79">
                  <c:v>3331600</c:v>
                </c:pt>
                <c:pt idx="80">
                  <c:v>10952400</c:v>
                </c:pt>
                <c:pt idx="81">
                  <c:v>18150400</c:v>
                </c:pt>
                <c:pt idx="82">
                  <c:v>14937800</c:v>
                </c:pt>
                <c:pt idx="83">
                  <c:v>18255700</c:v>
                </c:pt>
                <c:pt idx="84">
                  <c:v>15068800</c:v>
                </c:pt>
                <c:pt idx="85">
                  <c:v>20713200</c:v>
                </c:pt>
                <c:pt idx="86">
                  <c:v>13862800</c:v>
                </c:pt>
                <c:pt idx="87">
                  <c:v>6983500</c:v>
                </c:pt>
                <c:pt idx="88">
                  <c:v>3430500</c:v>
                </c:pt>
                <c:pt idx="89">
                  <c:v>8286900</c:v>
                </c:pt>
                <c:pt idx="90">
                  <c:v>4075100</c:v>
                </c:pt>
                <c:pt idx="91">
                  <c:v>1639800</c:v>
                </c:pt>
                <c:pt idx="92">
                  <c:v>9167100</c:v>
                </c:pt>
                <c:pt idx="93">
                  <c:v>14785500</c:v>
                </c:pt>
                <c:pt idx="94">
                  <c:v>18623300</c:v>
                </c:pt>
                <c:pt idx="95">
                  <c:v>15663500</c:v>
                </c:pt>
                <c:pt idx="96">
                  <c:v>19596800</c:v>
                </c:pt>
                <c:pt idx="97">
                  <c:v>17350200</c:v>
                </c:pt>
                <c:pt idx="98">
                  <c:v>13842900</c:v>
                </c:pt>
                <c:pt idx="99">
                  <c:v>10335900</c:v>
                </c:pt>
                <c:pt idx="100">
                  <c:v>7707600</c:v>
                </c:pt>
                <c:pt idx="101">
                  <c:v>5230700</c:v>
                </c:pt>
                <c:pt idx="102">
                  <c:v>2393500</c:v>
                </c:pt>
                <c:pt idx="103">
                  <c:v>6911300</c:v>
                </c:pt>
                <c:pt idx="104">
                  <c:v>3938700</c:v>
                </c:pt>
                <c:pt idx="105">
                  <c:v>-376600</c:v>
                </c:pt>
                <c:pt idx="106">
                  <c:v>1448600</c:v>
                </c:pt>
                <c:pt idx="107">
                  <c:v>4673200</c:v>
                </c:pt>
                <c:pt idx="108">
                  <c:v>6812500</c:v>
                </c:pt>
                <c:pt idx="109">
                  <c:v>9808000</c:v>
                </c:pt>
                <c:pt idx="110">
                  <c:v>8083500</c:v>
                </c:pt>
                <c:pt idx="111">
                  <c:v>12295800</c:v>
                </c:pt>
                <c:pt idx="112">
                  <c:v>17703600</c:v>
                </c:pt>
                <c:pt idx="113">
                  <c:v>21201000</c:v>
                </c:pt>
                <c:pt idx="114">
                  <c:v>19101000</c:v>
                </c:pt>
                <c:pt idx="115">
                  <c:v>23371500</c:v>
                </c:pt>
                <c:pt idx="116">
                  <c:v>23371500</c:v>
                </c:pt>
                <c:pt idx="117">
                  <c:v>26031800</c:v>
                </c:pt>
                <c:pt idx="118">
                  <c:v>28265900</c:v>
                </c:pt>
                <c:pt idx="119">
                  <c:v>22319900</c:v>
                </c:pt>
                <c:pt idx="120">
                  <c:v>17346200</c:v>
                </c:pt>
                <c:pt idx="121">
                  <c:v>19871300</c:v>
                </c:pt>
                <c:pt idx="122">
                  <c:v>16578800</c:v>
                </c:pt>
                <c:pt idx="123">
                  <c:v>18754300</c:v>
                </c:pt>
                <c:pt idx="124">
                  <c:v>22190000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001744"/>
        <c:axId val="199001352"/>
      </c:lineChart>
      <c:dateAx>
        <c:axId val="1990005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199000960"/>
        <c:crosses val="autoZero"/>
        <c:auto val="1"/>
        <c:lblOffset val="100"/>
        <c:baseTimeUnit val="days"/>
      </c:dateAx>
      <c:valAx>
        <c:axId val="199000960"/>
        <c:scaling>
          <c:orientation val="minMax"/>
          <c:max val="53.07"/>
          <c:min val="4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9000568"/>
        <c:crosses val="autoZero"/>
        <c:crossBetween val="between"/>
      </c:valAx>
      <c:valAx>
        <c:axId val="1990013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Accumulation Distribution Line &amp; OBV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99001744"/>
        <c:crosses val="max"/>
        <c:crossBetween val="between"/>
      </c:valAx>
      <c:dateAx>
        <c:axId val="19900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9900135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28575</xdr:rowOff>
        </xdr:from>
        <xdr:to>
          <xdr:col>5</xdr:col>
          <xdr:colOff>28575</xdr:colOff>
          <xdr:row>8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 and Plot ADL &amp; OBV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352425</xdr:colOff>
      <xdr:row>2</xdr:row>
      <xdr:rowOff>85725</xdr:rowOff>
    </xdr:from>
    <xdr:to>
      <xdr:col>4</xdr:col>
      <xdr:colOff>190500</xdr:colOff>
      <xdr:row>5</xdr:row>
      <xdr:rowOff>66675</xdr:rowOff>
    </xdr:to>
    <xdr:pic>
      <xdr:nvPicPr>
        <xdr:cNvPr id="16" name="Picture 15" descr="http://investexcel.net/wp-content/uploads/2011/10/InvestExcel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657225"/>
          <a:ext cx="10191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9</xdr:col>
      <xdr:colOff>177800</xdr:colOff>
      <xdr:row>30</xdr:row>
      <xdr:rowOff>0</xdr:rowOff>
    </xdr:to>
    <xdr:graphicFrame macro="">
      <xdr:nvGraphicFramePr>
        <xdr:cNvPr id="7" name="ADL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57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52" connectionId="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64" connectionId="2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66" connectionId="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47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41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58" connectionId="1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61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38" connectionId="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53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54" connectionId="1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5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43" connectionId="2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60" connectionId="1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39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48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49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51" connectionId="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62" connectionId="1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45" connectionId="3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46" connectionId="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44" connectionId="2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40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59" connectionId="1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63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42" connectionId="2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65" connectionId="2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investexcel.net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8"/>
  <sheetViews>
    <sheetView showGridLines="0" topLeftCell="A16" zoomScale="85" zoomScaleNormal="85" workbookViewId="0">
      <selection activeCell="H5" sqref="H5"/>
    </sheetView>
  </sheetViews>
  <sheetFormatPr defaultRowHeight="15"/>
  <cols>
    <col min="1" max="1" width="17.28515625" customWidth="1"/>
    <col min="2" max="2" width="11.85546875" customWidth="1"/>
    <col min="3" max="3" width="8.5703125" customWidth="1"/>
    <col min="9" max="9" width="9.140625" style="2"/>
    <col min="13" max="13" width="5.28515625" customWidth="1"/>
  </cols>
  <sheetData>
    <row r="1" spans="1:14" ht="30.75" thickBot="1">
      <c r="A1" s="1" t="s">
        <v>20</v>
      </c>
    </row>
    <row r="2" spans="1:14">
      <c r="A2" s="3" t="s">
        <v>5</v>
      </c>
      <c r="K2" s="10" t="s">
        <v>6</v>
      </c>
      <c r="L2" s="11"/>
      <c r="M2" s="11"/>
      <c r="N2" s="12"/>
    </row>
    <row r="3" spans="1:14" ht="15.75" thickBot="1">
      <c r="K3" s="15" t="s">
        <v>7</v>
      </c>
      <c r="L3" s="13"/>
      <c r="M3" s="13"/>
      <c r="N3" s="14"/>
    </row>
    <row r="4" spans="1:14">
      <c r="A4" s="4" t="s">
        <v>2</v>
      </c>
      <c r="B4" s="5"/>
    </row>
    <row r="5" spans="1:14">
      <c r="A5" s="6" t="s">
        <v>3</v>
      </c>
      <c r="B5" s="8" t="s">
        <v>16</v>
      </c>
    </row>
    <row r="6" spans="1:14">
      <c r="A6" s="6" t="s">
        <v>4</v>
      </c>
      <c r="B6" s="9">
        <v>41640</v>
      </c>
      <c r="K6" t="s">
        <v>21</v>
      </c>
    </row>
    <row r="7" spans="1:14" ht="15.75" thickBot="1">
      <c r="A7" s="7" t="s">
        <v>0</v>
      </c>
      <c r="B7" s="16">
        <v>41821</v>
      </c>
      <c r="K7" s="3" t="s">
        <v>5</v>
      </c>
    </row>
    <row r="8" spans="1:14">
      <c r="I8"/>
    </row>
    <row r="9" spans="1:14">
      <c r="I9"/>
    </row>
    <row r="10" spans="1:14">
      <c r="I10"/>
    </row>
    <row r="11" spans="1:14">
      <c r="I11"/>
    </row>
    <row r="12" spans="1:14">
      <c r="I12"/>
    </row>
    <row r="13" spans="1:14">
      <c r="I13"/>
    </row>
    <row r="14" spans="1:14">
      <c r="I14"/>
    </row>
    <row r="15" spans="1:14">
      <c r="I15"/>
    </row>
    <row r="16" spans="1:14">
      <c r="I16"/>
    </row>
    <row r="17" spans="9:9">
      <c r="I17"/>
    </row>
    <row r="18" spans="9:9">
      <c r="I18"/>
    </row>
  </sheetData>
  <hyperlinks>
    <hyperlink ref="A2" r:id="rId1"/>
    <hyperlink ref="K3" r:id="rId2"/>
    <hyperlink ref="K7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alling">
                <anchor moveWithCells="1">
                  <from>
                    <xdr:col>2</xdr:col>
                    <xdr:colOff>171450</xdr:colOff>
                    <xdr:row>6</xdr:row>
                    <xdr:rowOff>28575</xdr:rowOff>
                  </from>
                  <to>
                    <xdr:col>5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7"/>
  <sheetViews>
    <sheetView tabSelected="1" workbookViewId="0">
      <selection activeCell="L21" sqref="L21"/>
    </sheetView>
  </sheetViews>
  <sheetFormatPr defaultRowHeight="15"/>
  <cols>
    <col min="1" max="1" width="9.7109375" bestFit="1" customWidth="1"/>
    <col min="2" max="5" width="6" bestFit="1" customWidth="1"/>
    <col min="6" max="6" width="9" bestFit="1" customWidth="1"/>
    <col min="7" max="7" width="9.28515625" bestFit="1" customWidth="1"/>
    <col min="8" max="8" width="9.7109375" bestFit="1" customWidth="1"/>
    <col min="9" max="9" width="21.7109375" style="18" bestFit="1" customWidth="1"/>
    <col min="10" max="10" width="19.7109375" style="19" bestFit="1" customWidth="1"/>
    <col min="11" max="11" width="13.42578125" style="19" bestFit="1" customWidth="1"/>
    <col min="12" max="12" width="11.5703125" customWidth="1"/>
  </cols>
  <sheetData>
    <row r="1" spans="1:11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s="18" t="s">
        <v>17</v>
      </c>
      <c r="J1" s="19" t="s">
        <v>18</v>
      </c>
      <c r="K1" s="19" t="s">
        <v>19</v>
      </c>
    </row>
    <row r="2" spans="1:11">
      <c r="A2" s="17">
        <v>41641</v>
      </c>
      <c r="B2">
        <v>48.43</v>
      </c>
      <c r="C2">
        <v>48.44</v>
      </c>
      <c r="D2">
        <v>47.89</v>
      </c>
      <c r="E2">
        <v>47.98</v>
      </c>
      <c r="F2">
        <v>4737500</v>
      </c>
      <c r="G2">
        <v>45.64</v>
      </c>
      <c r="H2">
        <f xml:space="preserve"> F2</f>
        <v>4737500</v>
      </c>
      <c r="I2" s="18">
        <f t="shared" ref="I2:I33" si="0">((E2 - D2) - (C2 - E2)) / (C2-D2)</f>
        <v>-0.6727272727272845</v>
      </c>
      <c r="J2" s="19">
        <f t="shared" ref="J2:J33" si="1" xml:space="preserve"> I2 * F2</f>
        <v>-3187045.4545455105</v>
      </c>
      <c r="K2" s="19">
        <f>J2</f>
        <v>-3187045.4545455105</v>
      </c>
    </row>
    <row r="3" spans="1:11">
      <c r="A3" s="17">
        <v>41642</v>
      </c>
      <c r="B3">
        <v>48.2</v>
      </c>
      <c r="C3">
        <v>48.29</v>
      </c>
      <c r="D3">
        <v>47.85</v>
      </c>
      <c r="E3">
        <v>47.87</v>
      </c>
      <c r="F3">
        <v>5531200</v>
      </c>
      <c r="G3">
        <v>45.54</v>
      </c>
      <c r="H3">
        <f t="shared" ref="H3:H34" si="2">IF(E3 = E2, H2, IF(E3 &gt; E2, H2 + F3, H2 - F3 ))</f>
        <v>-793700</v>
      </c>
      <c r="I3" s="18">
        <f t="shared" si="0"/>
        <v>-0.90909090909092671</v>
      </c>
      <c r="J3" s="19">
        <f t="shared" si="1"/>
        <v>-5028363.6363637336</v>
      </c>
      <c r="K3" s="19">
        <f t="shared" ref="K3:K34" si="3" xml:space="preserve"> K2 + J3</f>
        <v>-8215409.0909092445</v>
      </c>
    </row>
    <row r="4" spans="1:11">
      <c r="A4" s="17">
        <v>41645</v>
      </c>
      <c r="B4">
        <v>48.11</v>
      </c>
      <c r="C4">
        <v>48.24</v>
      </c>
      <c r="D4">
        <v>47.9</v>
      </c>
      <c r="E4">
        <v>48</v>
      </c>
      <c r="F4">
        <v>5735900</v>
      </c>
      <c r="G4">
        <v>45.66</v>
      </c>
      <c r="H4">
        <f t="shared" si="2"/>
        <v>4942200</v>
      </c>
      <c r="I4" s="18">
        <f t="shared" si="0"/>
        <v>-0.41176470588235048</v>
      </c>
      <c r="J4" s="19">
        <f t="shared" si="1"/>
        <v>-2361841.176470574</v>
      </c>
      <c r="K4" s="19">
        <f t="shared" si="3"/>
        <v>-10577250.267379818</v>
      </c>
    </row>
    <row r="5" spans="1:11">
      <c r="A5" s="17">
        <v>41646</v>
      </c>
      <c r="B5">
        <v>48.52</v>
      </c>
      <c r="C5">
        <v>48.65</v>
      </c>
      <c r="D5">
        <v>48.32</v>
      </c>
      <c r="E5">
        <v>48.55</v>
      </c>
      <c r="F5">
        <v>7513500</v>
      </c>
      <c r="G5">
        <v>46.19</v>
      </c>
      <c r="H5">
        <f t="shared" si="2"/>
        <v>12455700</v>
      </c>
      <c r="I5" s="18">
        <f t="shared" si="0"/>
        <v>0.39393939393938221</v>
      </c>
      <c r="J5" s="19">
        <f t="shared" si="1"/>
        <v>2959863.6363635482</v>
      </c>
      <c r="K5" s="19">
        <f t="shared" si="3"/>
        <v>-7617386.6310162703</v>
      </c>
    </row>
    <row r="6" spans="1:11">
      <c r="A6" s="17">
        <v>41647</v>
      </c>
      <c r="B6">
        <v>48.66</v>
      </c>
      <c r="C6">
        <v>48.82</v>
      </c>
      <c r="D6">
        <v>48.53</v>
      </c>
      <c r="E6">
        <v>48.73</v>
      </c>
      <c r="F6">
        <v>6801800</v>
      </c>
      <c r="G6">
        <v>46.36</v>
      </c>
      <c r="H6">
        <f t="shared" si="2"/>
        <v>19257500</v>
      </c>
      <c r="I6" s="18">
        <f t="shared" si="0"/>
        <v>0.37931034482756087</v>
      </c>
      <c r="J6" s="19">
        <f t="shared" si="1"/>
        <v>2579993.1034481036</v>
      </c>
      <c r="K6" s="19">
        <f t="shared" si="3"/>
        <v>-5037393.5275681671</v>
      </c>
    </row>
    <row r="7" spans="1:11">
      <c r="A7" s="17">
        <v>41648</v>
      </c>
      <c r="B7">
        <v>49.01</v>
      </c>
      <c r="C7">
        <v>49.19</v>
      </c>
      <c r="D7">
        <v>48.77</v>
      </c>
      <c r="E7">
        <v>48.85</v>
      </c>
      <c r="F7">
        <v>7556500</v>
      </c>
      <c r="G7">
        <v>46.47</v>
      </c>
      <c r="H7">
        <f t="shared" si="2"/>
        <v>26814000</v>
      </c>
      <c r="I7" s="18">
        <f t="shared" si="0"/>
        <v>-0.61904761904762229</v>
      </c>
      <c r="J7" s="19">
        <f t="shared" si="1"/>
        <v>-4677833.3333333582</v>
      </c>
      <c r="K7" s="19">
        <f t="shared" si="3"/>
        <v>-9715226.8609015252</v>
      </c>
    </row>
    <row r="8" spans="1:11">
      <c r="A8" s="17">
        <v>41649</v>
      </c>
      <c r="B8">
        <v>49.12</v>
      </c>
      <c r="C8">
        <v>49.2</v>
      </c>
      <c r="D8">
        <v>48.99</v>
      </c>
      <c r="E8">
        <v>49.2</v>
      </c>
      <c r="F8">
        <v>5310100</v>
      </c>
      <c r="G8">
        <v>46.8</v>
      </c>
      <c r="H8">
        <f t="shared" si="2"/>
        <v>32124100</v>
      </c>
      <c r="I8" s="18">
        <f t="shared" si="0"/>
        <v>1</v>
      </c>
      <c r="J8" s="19">
        <f t="shared" si="1"/>
        <v>5310100</v>
      </c>
      <c r="K8" s="19">
        <f t="shared" si="3"/>
        <v>-4405126.8609015252</v>
      </c>
    </row>
    <row r="9" spans="1:11">
      <c r="A9" s="17">
        <v>41652</v>
      </c>
      <c r="B9">
        <v>48.53</v>
      </c>
      <c r="C9">
        <v>48.88</v>
      </c>
      <c r="D9">
        <v>48.1</v>
      </c>
      <c r="E9">
        <v>48.15</v>
      </c>
      <c r="F9">
        <v>8277700</v>
      </c>
      <c r="G9">
        <v>45.8</v>
      </c>
      <c r="H9">
        <f t="shared" si="2"/>
        <v>23846400</v>
      </c>
      <c r="I9" s="18">
        <f t="shared" si="0"/>
        <v>-0.87179487179487924</v>
      </c>
      <c r="J9" s="19">
        <f t="shared" si="1"/>
        <v>-7216456.4102564715</v>
      </c>
      <c r="K9" s="19">
        <f t="shared" si="3"/>
        <v>-11621583.271157997</v>
      </c>
    </row>
    <row r="10" spans="1:11">
      <c r="A10" s="17">
        <v>41653</v>
      </c>
      <c r="B10">
        <v>48.43</v>
      </c>
      <c r="C10">
        <v>48.44</v>
      </c>
      <c r="D10">
        <v>48.12</v>
      </c>
      <c r="E10">
        <v>48.34</v>
      </c>
      <c r="F10">
        <v>6072200</v>
      </c>
      <c r="G10">
        <v>45.99</v>
      </c>
      <c r="H10">
        <f t="shared" si="2"/>
        <v>29918600</v>
      </c>
      <c r="I10" s="18">
        <f t="shared" si="0"/>
        <v>0.37500000000003608</v>
      </c>
      <c r="J10" s="19">
        <f t="shared" si="1"/>
        <v>2277075.0000002193</v>
      </c>
      <c r="K10" s="19">
        <f t="shared" si="3"/>
        <v>-9344508.2711577769</v>
      </c>
    </row>
    <row r="11" spans="1:11">
      <c r="A11" s="17">
        <v>41654</v>
      </c>
      <c r="B11">
        <v>48.43</v>
      </c>
      <c r="C11">
        <v>48.48</v>
      </c>
      <c r="D11">
        <v>48.07</v>
      </c>
      <c r="E11">
        <v>48.1</v>
      </c>
      <c r="F11">
        <v>6437200</v>
      </c>
      <c r="G11">
        <v>45.76</v>
      </c>
      <c r="H11">
        <f t="shared" si="2"/>
        <v>23481400</v>
      </c>
      <c r="I11" s="18">
        <f t="shared" si="0"/>
        <v>-0.85365853658535906</v>
      </c>
      <c r="J11" s="19">
        <f t="shared" si="1"/>
        <v>-5495170.7317072731</v>
      </c>
      <c r="K11" s="19">
        <f t="shared" si="3"/>
        <v>-14839679.00286505</v>
      </c>
    </row>
    <row r="12" spans="1:11">
      <c r="A12" s="17">
        <v>41655</v>
      </c>
      <c r="B12">
        <v>48.08</v>
      </c>
      <c r="C12">
        <v>48.12</v>
      </c>
      <c r="D12">
        <v>47.8</v>
      </c>
      <c r="E12">
        <v>47.91</v>
      </c>
      <c r="F12">
        <v>4549800</v>
      </c>
      <c r="G12">
        <v>45.58</v>
      </c>
      <c r="H12">
        <f t="shared" si="2"/>
        <v>18931600</v>
      </c>
      <c r="I12" s="18">
        <f t="shared" si="0"/>
        <v>-0.31250000000000416</v>
      </c>
      <c r="J12" s="19">
        <f t="shared" si="1"/>
        <v>-1421812.5000000189</v>
      </c>
      <c r="K12" s="19">
        <f t="shared" si="3"/>
        <v>-16261491.502865069</v>
      </c>
    </row>
    <row r="13" spans="1:11">
      <c r="A13" s="17">
        <v>41656</v>
      </c>
      <c r="B13">
        <v>48.06</v>
      </c>
      <c r="C13">
        <v>48.47</v>
      </c>
      <c r="D13">
        <v>48.01</v>
      </c>
      <c r="E13">
        <v>48.2</v>
      </c>
      <c r="F13">
        <v>5872700</v>
      </c>
      <c r="G13">
        <v>45.85</v>
      </c>
      <c r="H13">
        <f t="shared" si="2"/>
        <v>24804300</v>
      </c>
      <c r="I13" s="18">
        <f t="shared" si="0"/>
        <v>-0.17391304347824138</v>
      </c>
      <c r="J13" s="19">
        <f t="shared" si="1"/>
        <v>-1021339.1304346682</v>
      </c>
      <c r="K13" s="19">
        <f t="shared" si="3"/>
        <v>-17282830.633299738</v>
      </c>
    </row>
    <row r="14" spans="1:11">
      <c r="A14" s="17">
        <v>41660</v>
      </c>
      <c r="B14">
        <v>48.62</v>
      </c>
      <c r="C14">
        <v>48.69</v>
      </c>
      <c r="D14">
        <v>48.35</v>
      </c>
      <c r="E14">
        <v>48.53</v>
      </c>
      <c r="F14">
        <v>5103100</v>
      </c>
      <c r="G14">
        <v>46.17</v>
      </c>
      <c r="H14">
        <f t="shared" si="2"/>
        <v>29907400</v>
      </c>
      <c r="I14" s="18">
        <f t="shared" si="0"/>
        <v>5.8823529411774537E-2</v>
      </c>
      <c r="J14" s="19">
        <f t="shared" si="1"/>
        <v>300182.35294122662</v>
      </c>
      <c r="K14" s="19">
        <f t="shared" si="3"/>
        <v>-16982648.280358512</v>
      </c>
    </row>
    <row r="15" spans="1:11">
      <c r="A15" s="17">
        <v>41661</v>
      </c>
      <c r="B15">
        <v>48.88</v>
      </c>
      <c r="C15">
        <v>49.16</v>
      </c>
      <c r="D15">
        <v>48.68</v>
      </c>
      <c r="E15">
        <v>49.04</v>
      </c>
      <c r="F15">
        <v>8903400</v>
      </c>
      <c r="G15">
        <v>46.65</v>
      </c>
      <c r="H15">
        <f t="shared" si="2"/>
        <v>38810800</v>
      </c>
      <c r="I15" s="18">
        <f t="shared" si="0"/>
        <v>0.50000000000000744</v>
      </c>
      <c r="J15" s="19">
        <f t="shared" si="1"/>
        <v>4451700.0000000661</v>
      </c>
      <c r="K15" s="19">
        <f t="shared" si="3"/>
        <v>-12530948.280358445</v>
      </c>
    </row>
    <row r="16" spans="1:11">
      <c r="A16" s="17">
        <v>41662</v>
      </c>
      <c r="B16">
        <v>48.96</v>
      </c>
      <c r="C16">
        <v>48.99</v>
      </c>
      <c r="D16">
        <v>48.43</v>
      </c>
      <c r="E16">
        <v>48.63</v>
      </c>
      <c r="F16">
        <v>5949900</v>
      </c>
      <c r="G16">
        <v>46.26</v>
      </c>
      <c r="H16">
        <f t="shared" si="2"/>
        <v>32860900</v>
      </c>
      <c r="I16" s="18">
        <f t="shared" si="0"/>
        <v>-0.28571428571427848</v>
      </c>
      <c r="J16" s="19">
        <f t="shared" si="1"/>
        <v>-1699971.4285713856</v>
      </c>
      <c r="K16" s="19">
        <f t="shared" si="3"/>
        <v>-14230919.708929831</v>
      </c>
    </row>
    <row r="17" spans="1:11">
      <c r="A17" s="17">
        <v>41663</v>
      </c>
      <c r="B17">
        <v>48.62</v>
      </c>
      <c r="C17">
        <v>48.64</v>
      </c>
      <c r="D17">
        <v>47.73</v>
      </c>
      <c r="E17">
        <v>47.75</v>
      </c>
      <c r="F17">
        <v>8983500</v>
      </c>
      <c r="G17">
        <v>45.42</v>
      </c>
      <c r="H17">
        <f t="shared" si="2"/>
        <v>23877400</v>
      </c>
      <c r="I17" s="18">
        <f t="shared" si="0"/>
        <v>-0.95604395604394932</v>
      </c>
      <c r="J17" s="19">
        <f t="shared" si="1"/>
        <v>-8588620.8791208193</v>
      </c>
      <c r="K17" s="19">
        <f t="shared" si="3"/>
        <v>-22819540.588050649</v>
      </c>
    </row>
    <row r="18" spans="1:11">
      <c r="A18" s="17">
        <v>41666</v>
      </c>
      <c r="B18">
        <v>47.51</v>
      </c>
      <c r="C18">
        <v>47.65</v>
      </c>
      <c r="D18">
        <v>47.06</v>
      </c>
      <c r="E18">
        <v>47.25</v>
      </c>
      <c r="F18">
        <v>4921600</v>
      </c>
      <c r="G18">
        <v>44.95</v>
      </c>
      <c r="H18">
        <f t="shared" si="2"/>
        <v>18955800</v>
      </c>
      <c r="I18" s="18">
        <f t="shared" si="0"/>
        <v>-0.35593220338983417</v>
      </c>
      <c r="J18" s="19">
        <f t="shared" si="1"/>
        <v>-1751755.9322034079</v>
      </c>
      <c r="K18" s="19">
        <f t="shared" si="3"/>
        <v>-24571296.520254057</v>
      </c>
    </row>
    <row r="19" spans="1:11">
      <c r="A19" s="17">
        <v>41667</v>
      </c>
      <c r="B19">
        <v>47.43</v>
      </c>
      <c r="C19">
        <v>47.59</v>
      </c>
      <c r="D19">
        <v>47.32</v>
      </c>
      <c r="E19">
        <v>47.48</v>
      </c>
      <c r="F19">
        <v>2641700</v>
      </c>
      <c r="G19">
        <v>45.17</v>
      </c>
      <c r="H19">
        <f t="shared" si="2"/>
        <v>21597500</v>
      </c>
      <c r="I19" s="18">
        <f t="shared" si="0"/>
        <v>0.18518518518514621</v>
      </c>
      <c r="J19" s="19">
        <f t="shared" si="1"/>
        <v>489203.70370360074</v>
      </c>
      <c r="K19" s="19">
        <f t="shared" si="3"/>
        <v>-24082092.816550456</v>
      </c>
    </row>
    <row r="20" spans="1:11">
      <c r="A20" s="17">
        <v>41668</v>
      </c>
      <c r="B20">
        <v>47.07</v>
      </c>
      <c r="C20">
        <v>47.48</v>
      </c>
      <c r="D20">
        <v>46.96</v>
      </c>
      <c r="E20">
        <v>47.27</v>
      </c>
      <c r="F20">
        <v>4831600</v>
      </c>
      <c r="G20">
        <v>44.97</v>
      </c>
      <c r="H20">
        <f t="shared" si="2"/>
        <v>16765900</v>
      </c>
      <c r="I20" s="18">
        <f t="shared" si="0"/>
        <v>0.19230769230771017</v>
      </c>
      <c r="J20" s="19">
        <f t="shared" si="1"/>
        <v>929153.84615393239</v>
      </c>
      <c r="K20" s="19">
        <f t="shared" si="3"/>
        <v>-23152938.970396522</v>
      </c>
    </row>
    <row r="21" spans="1:11">
      <c r="A21" s="17">
        <v>41669</v>
      </c>
      <c r="B21">
        <v>47.62</v>
      </c>
      <c r="C21">
        <v>47.62</v>
      </c>
      <c r="D21">
        <v>47.13</v>
      </c>
      <c r="E21">
        <v>47.41</v>
      </c>
      <c r="F21">
        <v>3760700</v>
      </c>
      <c r="G21">
        <v>45.1</v>
      </c>
      <c r="H21">
        <f t="shared" si="2"/>
        <v>20526600</v>
      </c>
      <c r="I21" s="18">
        <f t="shared" si="0"/>
        <v>0.14285714285713041</v>
      </c>
      <c r="J21" s="19">
        <f t="shared" si="1"/>
        <v>537242.85714281036</v>
      </c>
      <c r="K21" s="19">
        <f t="shared" si="3"/>
        <v>-22615696.113253713</v>
      </c>
    </row>
    <row r="22" spans="1:11">
      <c r="A22" s="17">
        <v>41670</v>
      </c>
      <c r="B22">
        <v>46.68</v>
      </c>
      <c r="C22">
        <v>47.23</v>
      </c>
      <c r="D22">
        <v>46.62</v>
      </c>
      <c r="E22">
        <v>46.89</v>
      </c>
      <c r="F22">
        <v>4796700</v>
      </c>
      <c r="G22">
        <v>44.61</v>
      </c>
      <c r="H22">
        <f t="shared" si="2"/>
        <v>15729900</v>
      </c>
      <c r="I22" s="18">
        <f t="shared" si="0"/>
        <v>-0.11475409836064467</v>
      </c>
      <c r="J22" s="19">
        <f t="shared" si="1"/>
        <v>-550440.98360650428</v>
      </c>
      <c r="K22" s="19">
        <f t="shared" si="3"/>
        <v>-23166137.096860215</v>
      </c>
    </row>
    <row r="23" spans="1:11">
      <c r="A23" s="17">
        <v>41673</v>
      </c>
      <c r="B23">
        <v>46.73</v>
      </c>
      <c r="C23">
        <v>46.87</v>
      </c>
      <c r="D23">
        <v>46.01</v>
      </c>
      <c r="E23">
        <v>46.11</v>
      </c>
      <c r="F23">
        <v>5033900</v>
      </c>
      <c r="G23">
        <v>43.86</v>
      </c>
      <c r="H23">
        <f t="shared" si="2"/>
        <v>10696000</v>
      </c>
      <c r="I23" s="18">
        <f t="shared" si="0"/>
        <v>-0.76744186046511287</v>
      </c>
      <c r="J23" s="19">
        <f t="shared" si="1"/>
        <v>-3863225.5813953318</v>
      </c>
      <c r="K23" s="19">
        <f t="shared" si="3"/>
        <v>-27029362.678255547</v>
      </c>
    </row>
    <row r="24" spans="1:11">
      <c r="A24" s="17">
        <v>41674</v>
      </c>
      <c r="B24">
        <v>45.97</v>
      </c>
      <c r="C24">
        <v>46.59</v>
      </c>
      <c r="D24">
        <v>45.93</v>
      </c>
      <c r="E24">
        <v>46.27</v>
      </c>
      <c r="F24">
        <v>5315100</v>
      </c>
      <c r="G24">
        <v>44.02</v>
      </c>
      <c r="H24">
        <f t="shared" si="2"/>
        <v>16011100</v>
      </c>
      <c r="I24" s="18">
        <f t="shared" si="0"/>
        <v>3.030303030303487E-2</v>
      </c>
      <c r="J24" s="19">
        <f t="shared" si="1"/>
        <v>161063.63636366063</v>
      </c>
      <c r="K24" s="19">
        <f t="shared" si="3"/>
        <v>-26868299.041891888</v>
      </c>
    </row>
    <row r="25" spans="1:11">
      <c r="A25" s="17">
        <v>41675</v>
      </c>
      <c r="B25">
        <v>46.22</v>
      </c>
      <c r="C25">
        <v>46.34</v>
      </c>
      <c r="D25">
        <v>45.83</v>
      </c>
      <c r="E25">
        <v>46.04</v>
      </c>
      <c r="F25">
        <v>3780900</v>
      </c>
      <c r="G25">
        <v>43.8</v>
      </c>
      <c r="H25">
        <f t="shared" si="2"/>
        <v>12230200</v>
      </c>
      <c r="I25" s="18">
        <f t="shared" si="0"/>
        <v>-0.17647058823529904</v>
      </c>
      <c r="J25" s="19">
        <f t="shared" si="1"/>
        <v>-667217.64705884212</v>
      </c>
      <c r="K25" s="19">
        <f t="shared" si="3"/>
        <v>-27535516.688950729</v>
      </c>
    </row>
    <row r="26" spans="1:11">
      <c r="A26" s="17">
        <v>41676</v>
      </c>
      <c r="B26">
        <v>46.58</v>
      </c>
      <c r="C26">
        <v>47.36</v>
      </c>
      <c r="D26">
        <v>46.5</v>
      </c>
      <c r="E26">
        <v>47.32</v>
      </c>
      <c r="F26">
        <v>5952100</v>
      </c>
      <c r="G26">
        <v>45.02</v>
      </c>
      <c r="H26">
        <f t="shared" si="2"/>
        <v>18182300</v>
      </c>
      <c r="I26" s="18">
        <f t="shared" si="0"/>
        <v>0.90697674418604846</v>
      </c>
      <c r="J26" s="19">
        <f t="shared" si="1"/>
        <v>5398416.2790697794</v>
      </c>
      <c r="K26" s="19">
        <f t="shared" si="3"/>
        <v>-22137100.409880951</v>
      </c>
    </row>
    <row r="27" spans="1:11">
      <c r="A27" s="17">
        <v>41677</v>
      </c>
      <c r="B27">
        <v>47.23</v>
      </c>
      <c r="C27">
        <v>47.65</v>
      </c>
      <c r="D27">
        <v>47.21</v>
      </c>
      <c r="E27">
        <v>47.61</v>
      </c>
      <c r="F27">
        <v>2833100</v>
      </c>
      <c r="G27">
        <v>45.29</v>
      </c>
      <c r="H27">
        <f t="shared" si="2"/>
        <v>21015400</v>
      </c>
      <c r="I27" s="18">
        <f t="shared" si="0"/>
        <v>0.81818181818182112</v>
      </c>
      <c r="J27" s="19">
        <f t="shared" si="1"/>
        <v>2317990.9090909176</v>
      </c>
      <c r="K27" s="19">
        <f t="shared" si="3"/>
        <v>-19819109.500790033</v>
      </c>
    </row>
    <row r="28" spans="1:11">
      <c r="A28" s="17">
        <v>41680</v>
      </c>
      <c r="B28">
        <v>47.34</v>
      </c>
      <c r="C28">
        <v>47.5</v>
      </c>
      <c r="D28">
        <v>47.24</v>
      </c>
      <c r="E28">
        <v>47.5</v>
      </c>
      <c r="F28">
        <v>2432700</v>
      </c>
      <c r="G28">
        <v>45.19</v>
      </c>
      <c r="H28">
        <f t="shared" si="2"/>
        <v>18582700</v>
      </c>
      <c r="I28" s="18">
        <f t="shared" si="0"/>
        <v>1</v>
      </c>
      <c r="J28" s="19">
        <f t="shared" si="1"/>
        <v>2432700</v>
      </c>
      <c r="K28" s="19">
        <f t="shared" si="3"/>
        <v>-17386409.500790033</v>
      </c>
    </row>
    <row r="29" spans="1:11">
      <c r="A29" s="17">
        <v>41681</v>
      </c>
      <c r="B29">
        <v>48.02</v>
      </c>
      <c r="C29">
        <v>48.74</v>
      </c>
      <c r="D29">
        <v>47.94</v>
      </c>
      <c r="E29">
        <v>48.61</v>
      </c>
      <c r="F29">
        <v>4794000</v>
      </c>
      <c r="G29">
        <v>46.24</v>
      </c>
      <c r="H29">
        <f t="shared" si="2"/>
        <v>23376700</v>
      </c>
      <c r="I29" s="18">
        <f t="shared" si="0"/>
        <v>0.67499999999999538</v>
      </c>
      <c r="J29" s="19">
        <f t="shared" si="1"/>
        <v>3235949.9999999776</v>
      </c>
      <c r="K29" s="19">
        <f t="shared" si="3"/>
        <v>-14150459.500790056</v>
      </c>
    </row>
    <row r="30" spans="1:11">
      <c r="A30" s="17">
        <v>41682</v>
      </c>
      <c r="B30">
        <v>48.58</v>
      </c>
      <c r="C30">
        <v>48.6</v>
      </c>
      <c r="D30">
        <v>48.22</v>
      </c>
      <c r="E30">
        <v>48.38</v>
      </c>
      <c r="F30">
        <v>4615200</v>
      </c>
      <c r="G30">
        <v>46.57</v>
      </c>
      <c r="H30">
        <f t="shared" si="2"/>
        <v>18761500</v>
      </c>
      <c r="I30" s="18">
        <f t="shared" si="0"/>
        <v>-0.15789473684209149</v>
      </c>
      <c r="J30" s="19">
        <f t="shared" si="1"/>
        <v>-728715.78947362059</v>
      </c>
      <c r="K30" s="19">
        <f t="shared" si="3"/>
        <v>-14879175.290263677</v>
      </c>
    </row>
    <row r="31" spans="1:11">
      <c r="A31" s="17">
        <v>41683</v>
      </c>
      <c r="B31">
        <v>48.14</v>
      </c>
      <c r="C31">
        <v>48.58</v>
      </c>
      <c r="D31">
        <v>48.08</v>
      </c>
      <c r="E31">
        <v>48.45</v>
      </c>
      <c r="F31">
        <v>3546000</v>
      </c>
      <c r="G31">
        <v>46.64</v>
      </c>
      <c r="H31">
        <f t="shared" si="2"/>
        <v>22307500</v>
      </c>
      <c r="I31" s="18">
        <f t="shared" si="0"/>
        <v>0.48000000000001819</v>
      </c>
      <c r="J31" s="19">
        <f t="shared" si="1"/>
        <v>1702080.0000000645</v>
      </c>
      <c r="K31" s="19">
        <f t="shared" si="3"/>
        <v>-13177095.290263612</v>
      </c>
    </row>
    <row r="32" spans="1:11">
      <c r="A32" s="17">
        <v>41684</v>
      </c>
      <c r="B32">
        <v>48.53</v>
      </c>
      <c r="C32">
        <v>48.96</v>
      </c>
      <c r="D32">
        <v>48.47</v>
      </c>
      <c r="E32">
        <v>48.81</v>
      </c>
      <c r="F32">
        <v>2597700</v>
      </c>
      <c r="G32">
        <v>46.98</v>
      </c>
      <c r="H32">
        <f t="shared" si="2"/>
        <v>24905200</v>
      </c>
      <c r="I32" s="18">
        <f t="shared" si="0"/>
        <v>0.38775510204082464</v>
      </c>
      <c r="J32" s="19">
        <f t="shared" si="1"/>
        <v>1007271.4285714502</v>
      </c>
      <c r="K32" s="19">
        <f t="shared" si="3"/>
        <v>-12169823.861692162</v>
      </c>
    </row>
    <row r="33" spans="1:11">
      <c r="A33" s="17">
        <v>41688</v>
      </c>
      <c r="B33">
        <v>49.34</v>
      </c>
      <c r="C33">
        <v>49.63</v>
      </c>
      <c r="D33">
        <v>49.26</v>
      </c>
      <c r="E33">
        <v>49.41</v>
      </c>
      <c r="F33">
        <v>10061800</v>
      </c>
      <c r="G33">
        <v>47.56</v>
      </c>
      <c r="H33">
        <f t="shared" si="2"/>
        <v>34967000</v>
      </c>
      <c r="I33" s="18">
        <f t="shared" si="0"/>
        <v>-0.18918918918920682</v>
      </c>
      <c r="J33" s="19">
        <f t="shared" si="1"/>
        <v>-1903583.7837839613</v>
      </c>
      <c r="K33" s="19">
        <f t="shared" si="3"/>
        <v>-14073407.645476123</v>
      </c>
    </row>
    <row r="34" spans="1:11">
      <c r="A34" s="17">
        <v>41689</v>
      </c>
      <c r="B34">
        <v>49.3</v>
      </c>
      <c r="C34">
        <v>49.7</v>
      </c>
      <c r="D34">
        <v>49.2</v>
      </c>
      <c r="E34">
        <v>49.33</v>
      </c>
      <c r="F34">
        <v>5479300</v>
      </c>
      <c r="G34">
        <v>47.48</v>
      </c>
      <c r="H34">
        <f t="shared" si="2"/>
        <v>29487700</v>
      </c>
      <c r="I34" s="18">
        <f t="shared" ref="I34:I65" si="4">((E34 - D34) - (C34 - E34)) / (C34-D34)</f>
        <v>-0.48000000000001819</v>
      </c>
      <c r="J34" s="19">
        <f t="shared" ref="J34:J65" si="5" xml:space="preserve"> I34 * F34</f>
        <v>-2630064.0000000997</v>
      </c>
      <c r="K34" s="19">
        <f t="shared" si="3"/>
        <v>-16703471.645476222</v>
      </c>
    </row>
    <row r="35" spans="1:11">
      <c r="A35" s="17">
        <v>41690</v>
      </c>
      <c r="B35">
        <v>49.73</v>
      </c>
      <c r="C35">
        <v>49.96</v>
      </c>
      <c r="D35">
        <v>49.61</v>
      </c>
      <c r="E35">
        <v>49.86</v>
      </c>
      <c r="F35">
        <v>8097900</v>
      </c>
      <c r="G35">
        <v>47.99</v>
      </c>
      <c r="H35">
        <f t="shared" ref="H35:H66" si="6">IF(E35 = E34, H34, IF(E35 &gt; E34, H34 + F35, H34 - F35 ))</f>
        <v>37585600</v>
      </c>
      <c r="I35" s="18">
        <f t="shared" si="4"/>
        <v>0.42857142857142277</v>
      </c>
      <c r="J35" s="19">
        <f t="shared" si="5"/>
        <v>3470528.5714285243</v>
      </c>
      <c r="K35" s="19">
        <f t="shared" ref="K35:K66" si="7" xml:space="preserve"> K34 + J35</f>
        <v>-13232943.074047698</v>
      </c>
    </row>
    <row r="36" spans="1:11">
      <c r="A36" s="17">
        <v>41691</v>
      </c>
      <c r="B36">
        <v>50.02</v>
      </c>
      <c r="C36">
        <v>50.2</v>
      </c>
      <c r="D36">
        <v>49.76</v>
      </c>
      <c r="E36">
        <v>49.81</v>
      </c>
      <c r="F36">
        <v>6282700</v>
      </c>
      <c r="G36">
        <v>47.95</v>
      </c>
      <c r="H36">
        <f t="shared" si="6"/>
        <v>31302900</v>
      </c>
      <c r="I36" s="18">
        <f t="shared" si="4"/>
        <v>-0.77272727272725583</v>
      </c>
      <c r="J36" s="19">
        <f t="shared" si="5"/>
        <v>-4854813.6363635305</v>
      </c>
      <c r="K36" s="19">
        <f t="shared" si="7"/>
        <v>-18087756.710411228</v>
      </c>
    </row>
    <row r="37" spans="1:11">
      <c r="A37" s="17">
        <v>41694</v>
      </c>
      <c r="B37">
        <v>50</v>
      </c>
      <c r="C37">
        <v>50.59</v>
      </c>
      <c r="D37">
        <v>49.96</v>
      </c>
      <c r="E37">
        <v>50.27</v>
      </c>
      <c r="F37">
        <v>8709300</v>
      </c>
      <c r="G37">
        <v>48.39</v>
      </c>
      <c r="H37">
        <f t="shared" si="6"/>
        <v>40012200</v>
      </c>
      <c r="I37" s="18">
        <f t="shared" si="4"/>
        <v>-1.5873015873012649E-2</v>
      </c>
      <c r="J37" s="19">
        <f t="shared" si="5"/>
        <v>-138242.85714282907</v>
      </c>
      <c r="K37" s="19">
        <f t="shared" si="7"/>
        <v>-18225999.567554057</v>
      </c>
    </row>
    <row r="38" spans="1:11">
      <c r="A38" s="17">
        <v>41695</v>
      </c>
      <c r="B38">
        <v>50.73</v>
      </c>
      <c r="C38">
        <v>51.02</v>
      </c>
      <c r="D38">
        <v>50.43</v>
      </c>
      <c r="E38">
        <v>50.67</v>
      </c>
      <c r="F38">
        <v>8166400</v>
      </c>
      <c r="G38">
        <v>48.77</v>
      </c>
      <c r="H38">
        <f t="shared" si="6"/>
        <v>48178600</v>
      </c>
      <c r="I38" s="18">
        <f t="shared" si="4"/>
        <v>-0.18644067796609964</v>
      </c>
      <c r="J38" s="19">
        <f t="shared" si="5"/>
        <v>-1522549.1525423562</v>
      </c>
      <c r="K38" s="19">
        <f t="shared" si="7"/>
        <v>-19748548.720096413</v>
      </c>
    </row>
    <row r="39" spans="1:11">
      <c r="A39" s="17">
        <v>41696</v>
      </c>
      <c r="B39">
        <v>50.62</v>
      </c>
      <c r="C39">
        <v>50.72</v>
      </c>
      <c r="D39">
        <v>50.27</v>
      </c>
      <c r="E39">
        <v>50.42</v>
      </c>
      <c r="F39">
        <v>4941500</v>
      </c>
      <c r="G39">
        <v>48.53</v>
      </c>
      <c r="H39">
        <f t="shared" si="6"/>
        <v>43237100</v>
      </c>
      <c r="I39" s="18">
        <f t="shared" si="4"/>
        <v>-0.33333333333333331</v>
      </c>
      <c r="J39" s="19">
        <f t="shared" si="5"/>
        <v>-1647166.6666666665</v>
      </c>
      <c r="K39" s="19">
        <f t="shared" si="7"/>
        <v>-21395715.386763081</v>
      </c>
    </row>
    <row r="40" spans="1:11">
      <c r="A40" s="17">
        <v>41697</v>
      </c>
      <c r="B40">
        <v>50.38</v>
      </c>
      <c r="C40">
        <v>50.55</v>
      </c>
      <c r="D40">
        <v>50.13</v>
      </c>
      <c r="E40">
        <v>50.41</v>
      </c>
      <c r="F40">
        <v>5585800</v>
      </c>
      <c r="G40">
        <v>48.52</v>
      </c>
      <c r="H40">
        <f t="shared" si="6"/>
        <v>37651300</v>
      </c>
      <c r="I40" s="18">
        <f t="shared" si="4"/>
        <v>0.33333333333332205</v>
      </c>
      <c r="J40" s="19">
        <f t="shared" si="5"/>
        <v>1861933.3333332704</v>
      </c>
      <c r="K40" s="19">
        <f t="shared" si="7"/>
        <v>-19533782.053429812</v>
      </c>
    </row>
    <row r="41" spans="1:11">
      <c r="A41" s="17">
        <v>41698</v>
      </c>
      <c r="B41">
        <v>50.27</v>
      </c>
      <c r="C41">
        <v>50.89</v>
      </c>
      <c r="D41">
        <v>50.27</v>
      </c>
      <c r="E41">
        <v>50.61</v>
      </c>
      <c r="F41">
        <v>5542000</v>
      </c>
      <c r="G41">
        <v>48.72</v>
      </c>
      <c r="H41">
        <f t="shared" si="6"/>
        <v>43193300</v>
      </c>
      <c r="I41" s="18">
        <f t="shared" si="4"/>
        <v>9.6774193548379697E-2</v>
      </c>
      <c r="J41" s="19">
        <f t="shared" si="5"/>
        <v>536322.58064512024</v>
      </c>
      <c r="K41" s="19">
        <f t="shared" si="7"/>
        <v>-18997459.472784691</v>
      </c>
    </row>
    <row r="42" spans="1:11">
      <c r="A42" s="17">
        <v>41701</v>
      </c>
      <c r="B42">
        <v>49.39</v>
      </c>
      <c r="C42">
        <v>49.87</v>
      </c>
      <c r="D42">
        <v>48.89</v>
      </c>
      <c r="E42">
        <v>49</v>
      </c>
      <c r="F42">
        <v>9857500</v>
      </c>
      <c r="G42">
        <v>47.17</v>
      </c>
      <c r="H42">
        <f t="shared" si="6"/>
        <v>33335800</v>
      </c>
      <c r="I42" s="18">
        <f t="shared" si="4"/>
        <v>-0.77551020408163307</v>
      </c>
      <c r="J42" s="19">
        <f t="shared" si="5"/>
        <v>-7644591.8367346982</v>
      </c>
      <c r="K42" s="19">
        <f t="shared" si="7"/>
        <v>-26642051.309519388</v>
      </c>
    </row>
    <row r="43" spans="1:11">
      <c r="A43" s="17">
        <v>41702</v>
      </c>
      <c r="B43">
        <v>49.28</v>
      </c>
      <c r="C43">
        <v>49.44</v>
      </c>
      <c r="D43">
        <v>49.03</v>
      </c>
      <c r="E43">
        <v>49.34</v>
      </c>
      <c r="F43">
        <v>6511700</v>
      </c>
      <c r="G43">
        <v>47.49</v>
      </c>
      <c r="H43">
        <f t="shared" si="6"/>
        <v>39847500</v>
      </c>
      <c r="I43" s="18">
        <f t="shared" si="4"/>
        <v>0.51219512195124317</v>
      </c>
      <c r="J43" s="19">
        <f t="shared" si="5"/>
        <v>3335260.9756099102</v>
      </c>
      <c r="K43" s="19">
        <f t="shared" si="7"/>
        <v>-23306790.333909478</v>
      </c>
    </row>
    <row r="44" spans="1:11">
      <c r="A44" s="17">
        <v>41703</v>
      </c>
      <c r="B44">
        <v>48.9</v>
      </c>
      <c r="C44">
        <v>49.17</v>
      </c>
      <c r="D44">
        <v>48.65</v>
      </c>
      <c r="E44">
        <v>48.82</v>
      </c>
      <c r="F44">
        <v>5747400</v>
      </c>
      <c r="G44">
        <v>46.99</v>
      </c>
      <c r="H44">
        <f t="shared" si="6"/>
        <v>34100100</v>
      </c>
      <c r="I44" s="18">
        <f t="shared" si="4"/>
        <v>-0.34615384615384354</v>
      </c>
      <c r="J44" s="19">
        <f t="shared" si="5"/>
        <v>-1989484.6153846004</v>
      </c>
      <c r="K44" s="19">
        <f t="shared" si="7"/>
        <v>-25296274.949294079</v>
      </c>
    </row>
    <row r="45" spans="1:11">
      <c r="A45" s="17">
        <v>41704</v>
      </c>
      <c r="B45">
        <v>48.63</v>
      </c>
      <c r="C45">
        <v>48.95</v>
      </c>
      <c r="D45">
        <v>48.62</v>
      </c>
      <c r="E45">
        <v>48.79</v>
      </c>
      <c r="F45">
        <v>4632100</v>
      </c>
      <c r="G45">
        <v>46.96</v>
      </c>
      <c r="H45">
        <f t="shared" si="6"/>
        <v>29468000</v>
      </c>
      <c r="I45" s="18">
        <f t="shared" si="4"/>
        <v>3.0303030303023778E-2</v>
      </c>
      <c r="J45" s="19">
        <f t="shared" si="5"/>
        <v>140366.66666663645</v>
      </c>
      <c r="K45" s="19">
        <f t="shared" si="7"/>
        <v>-25155908.282627441</v>
      </c>
    </row>
    <row r="46" spans="1:11">
      <c r="A46" s="17">
        <v>41705</v>
      </c>
      <c r="B46">
        <v>48.53</v>
      </c>
      <c r="C46">
        <v>48.59</v>
      </c>
      <c r="D46">
        <v>48.15</v>
      </c>
      <c r="E46">
        <v>48.43</v>
      </c>
      <c r="F46">
        <v>5904400</v>
      </c>
      <c r="G46">
        <v>46.62</v>
      </c>
      <c r="H46">
        <f t="shared" si="6"/>
        <v>23563600</v>
      </c>
      <c r="I46" s="18">
        <f t="shared" si="4"/>
        <v>0.27272727272726394</v>
      </c>
      <c r="J46" s="19">
        <f t="shared" si="5"/>
        <v>1610290.9090908573</v>
      </c>
      <c r="K46" s="19">
        <f t="shared" si="7"/>
        <v>-23545617.373536583</v>
      </c>
    </row>
    <row r="47" spans="1:11">
      <c r="A47" s="17">
        <v>41708</v>
      </c>
      <c r="B47">
        <v>48.22</v>
      </c>
      <c r="C47">
        <v>48.45</v>
      </c>
      <c r="D47">
        <v>48.13</v>
      </c>
      <c r="E47">
        <v>48.44</v>
      </c>
      <c r="F47">
        <v>2540200</v>
      </c>
      <c r="G47">
        <v>46.63</v>
      </c>
      <c r="H47">
        <f t="shared" si="6"/>
        <v>26103800</v>
      </c>
      <c r="I47" s="18">
        <f t="shared" si="4"/>
        <v>0.93749999999996814</v>
      </c>
      <c r="J47" s="19">
        <f t="shared" si="5"/>
        <v>2381437.499999919</v>
      </c>
      <c r="K47" s="19">
        <f t="shared" si="7"/>
        <v>-21164179.873536665</v>
      </c>
    </row>
    <row r="48" spans="1:11">
      <c r="A48" s="17">
        <v>41709</v>
      </c>
      <c r="B48">
        <v>48.41</v>
      </c>
      <c r="C48">
        <v>48.65</v>
      </c>
      <c r="D48">
        <v>48.11</v>
      </c>
      <c r="E48">
        <v>48.22</v>
      </c>
      <c r="F48">
        <v>2690700</v>
      </c>
      <c r="G48">
        <v>46.42</v>
      </c>
      <c r="H48">
        <f t="shared" si="6"/>
        <v>23413100</v>
      </c>
      <c r="I48" s="18">
        <f t="shared" si="4"/>
        <v>-0.592592592592594</v>
      </c>
      <c r="J48" s="19">
        <f t="shared" si="5"/>
        <v>-1594488.8888888927</v>
      </c>
      <c r="K48" s="19">
        <f t="shared" si="7"/>
        <v>-22758668.762425557</v>
      </c>
    </row>
    <row r="49" spans="1:11">
      <c r="A49" s="17">
        <v>41710</v>
      </c>
      <c r="B49">
        <v>48.1</v>
      </c>
      <c r="C49">
        <v>48.32</v>
      </c>
      <c r="D49">
        <v>48.03</v>
      </c>
      <c r="E49">
        <v>48.21</v>
      </c>
      <c r="F49">
        <v>2249000</v>
      </c>
      <c r="G49">
        <v>46.41</v>
      </c>
      <c r="H49">
        <f t="shared" si="6"/>
        <v>21164100</v>
      </c>
      <c r="I49" s="18">
        <f t="shared" si="4"/>
        <v>0.24137931034482929</v>
      </c>
      <c r="J49" s="19">
        <f t="shared" si="5"/>
        <v>542862.06896552106</v>
      </c>
      <c r="K49" s="19">
        <f t="shared" si="7"/>
        <v>-22215806.693460036</v>
      </c>
    </row>
    <row r="50" spans="1:11">
      <c r="A50" s="17">
        <v>41711</v>
      </c>
      <c r="B50">
        <v>48.37</v>
      </c>
      <c r="C50">
        <v>48.38</v>
      </c>
      <c r="D50">
        <v>47.52</v>
      </c>
      <c r="E50">
        <v>47.59</v>
      </c>
      <c r="F50">
        <v>3666000</v>
      </c>
      <c r="G50">
        <v>45.81</v>
      </c>
      <c r="H50">
        <f t="shared" si="6"/>
        <v>17498100</v>
      </c>
      <c r="I50" s="18">
        <f t="shared" si="4"/>
        <v>-0.83720930232558066</v>
      </c>
      <c r="J50" s="19">
        <f t="shared" si="5"/>
        <v>-3069209.3023255789</v>
      </c>
      <c r="K50" s="19">
        <f t="shared" si="7"/>
        <v>-25285015.995785616</v>
      </c>
    </row>
    <row r="51" spans="1:11">
      <c r="A51" s="17">
        <v>41712</v>
      </c>
      <c r="B51">
        <v>47.52</v>
      </c>
      <c r="C51">
        <v>47.81</v>
      </c>
      <c r="D51">
        <v>47.52</v>
      </c>
      <c r="E51">
        <v>47.69</v>
      </c>
      <c r="F51">
        <v>3900700</v>
      </c>
      <c r="G51">
        <v>45.91</v>
      </c>
      <c r="H51">
        <f t="shared" si="6"/>
        <v>21398800</v>
      </c>
      <c r="I51" s="18">
        <f t="shared" si="4"/>
        <v>0.17241379310341448</v>
      </c>
      <c r="J51" s="19">
        <f t="shared" si="5"/>
        <v>672534.48275848886</v>
      </c>
      <c r="K51" s="19">
        <f t="shared" si="7"/>
        <v>-24612481.513027128</v>
      </c>
    </row>
    <row r="52" spans="1:11">
      <c r="A52" s="17">
        <v>41715</v>
      </c>
      <c r="B52">
        <v>47.47</v>
      </c>
      <c r="C52">
        <v>47.87</v>
      </c>
      <c r="D52">
        <v>47.33</v>
      </c>
      <c r="E52">
        <v>47.66</v>
      </c>
      <c r="F52">
        <v>5008000</v>
      </c>
      <c r="G52">
        <v>45.88</v>
      </c>
      <c r="H52">
        <f t="shared" si="6"/>
        <v>16390800</v>
      </c>
      <c r="I52" s="18">
        <f t="shared" si="4"/>
        <v>0.22222222222221782</v>
      </c>
      <c r="J52" s="19">
        <f t="shared" si="5"/>
        <v>1112888.8888888669</v>
      </c>
      <c r="K52" s="19">
        <f t="shared" si="7"/>
        <v>-23499592.624138262</v>
      </c>
    </row>
    <row r="53" spans="1:11">
      <c r="A53" s="17">
        <v>41716</v>
      </c>
      <c r="B53">
        <v>47.47</v>
      </c>
      <c r="C53">
        <v>47.72</v>
      </c>
      <c r="D53">
        <v>47.38</v>
      </c>
      <c r="E53">
        <v>47.56</v>
      </c>
      <c r="F53">
        <v>5596800</v>
      </c>
      <c r="G53">
        <v>45.78</v>
      </c>
      <c r="H53">
        <f t="shared" si="6"/>
        <v>10794000</v>
      </c>
      <c r="I53" s="18">
        <f t="shared" si="4"/>
        <v>5.8823529411774537E-2</v>
      </c>
      <c r="J53" s="19">
        <f t="shared" si="5"/>
        <v>329223.52941181971</v>
      </c>
      <c r="K53" s="19">
        <f t="shared" si="7"/>
        <v>-23170369.094726443</v>
      </c>
    </row>
    <row r="54" spans="1:11">
      <c r="A54" s="17">
        <v>41717</v>
      </c>
      <c r="B54">
        <v>47.55</v>
      </c>
      <c r="C54">
        <v>47.78</v>
      </c>
      <c r="D54">
        <v>47.16</v>
      </c>
      <c r="E54">
        <v>47.32</v>
      </c>
      <c r="F54">
        <v>4149400</v>
      </c>
      <c r="G54">
        <v>45.55</v>
      </c>
      <c r="H54">
        <f t="shared" si="6"/>
        <v>6644600</v>
      </c>
      <c r="I54" s="18">
        <f t="shared" si="4"/>
        <v>-0.48387096774192734</v>
      </c>
      <c r="J54" s="19">
        <f t="shared" si="5"/>
        <v>-2007774.1935483534</v>
      </c>
      <c r="K54" s="19">
        <f t="shared" si="7"/>
        <v>-25178143.288274795</v>
      </c>
    </row>
    <row r="55" spans="1:11">
      <c r="A55" s="17">
        <v>41718</v>
      </c>
      <c r="B55">
        <v>46.42</v>
      </c>
      <c r="C55">
        <v>46.68</v>
      </c>
      <c r="D55">
        <v>46.29</v>
      </c>
      <c r="E55">
        <v>46.52</v>
      </c>
      <c r="F55">
        <v>17857900</v>
      </c>
      <c r="G55">
        <v>44.78</v>
      </c>
      <c r="H55">
        <f t="shared" si="6"/>
        <v>-11213300</v>
      </c>
      <c r="I55" s="18">
        <f t="shared" si="4"/>
        <v>0.17948717948719817</v>
      </c>
      <c r="J55" s="19">
        <f t="shared" si="5"/>
        <v>3205264.1025644364</v>
      </c>
      <c r="K55" s="19">
        <f t="shared" si="7"/>
        <v>-21972879.185710359</v>
      </c>
    </row>
    <row r="56" spans="1:11">
      <c r="A56" s="17">
        <v>41719</v>
      </c>
      <c r="B56">
        <v>46.48</v>
      </c>
      <c r="C56">
        <v>46.93</v>
      </c>
      <c r="D56">
        <v>46.36</v>
      </c>
      <c r="E56">
        <v>46.51</v>
      </c>
      <c r="F56">
        <v>15397700</v>
      </c>
      <c r="G56">
        <v>44.77</v>
      </c>
      <c r="H56">
        <f t="shared" si="6"/>
        <v>-26611000</v>
      </c>
      <c r="I56" s="18">
        <f t="shared" si="4"/>
        <v>-0.47368421052632104</v>
      </c>
      <c r="J56" s="19">
        <f t="shared" si="5"/>
        <v>-7293647.3684211336</v>
      </c>
      <c r="K56" s="19">
        <f t="shared" si="7"/>
        <v>-29266526.554131493</v>
      </c>
    </row>
    <row r="57" spans="1:11">
      <c r="A57" s="17">
        <v>41722</v>
      </c>
      <c r="B57">
        <v>46.79</v>
      </c>
      <c r="C57">
        <v>46.85</v>
      </c>
      <c r="D57">
        <v>46.35</v>
      </c>
      <c r="E57">
        <v>46.7</v>
      </c>
      <c r="F57">
        <v>7705700</v>
      </c>
      <c r="G57">
        <v>44.95</v>
      </c>
      <c r="H57">
        <f t="shared" si="6"/>
        <v>-18905300</v>
      </c>
      <c r="I57" s="18">
        <f t="shared" si="4"/>
        <v>0.40000000000000568</v>
      </c>
      <c r="J57" s="19">
        <f t="shared" si="5"/>
        <v>3082280.0000000438</v>
      </c>
      <c r="K57" s="19">
        <f t="shared" si="7"/>
        <v>-26184246.554131448</v>
      </c>
    </row>
    <row r="58" spans="1:11">
      <c r="A58" s="17">
        <v>41723</v>
      </c>
      <c r="B58">
        <v>46.52</v>
      </c>
      <c r="C58">
        <v>47.14</v>
      </c>
      <c r="D58">
        <v>46.52</v>
      </c>
      <c r="E58">
        <v>47.01</v>
      </c>
      <c r="F58">
        <v>4947800</v>
      </c>
      <c r="G58">
        <v>45.25</v>
      </c>
      <c r="H58">
        <f t="shared" si="6"/>
        <v>-13957500</v>
      </c>
      <c r="I58" s="18">
        <f t="shared" si="4"/>
        <v>0.58064516129031263</v>
      </c>
      <c r="J58" s="19">
        <f t="shared" si="5"/>
        <v>2872916.129032209</v>
      </c>
      <c r="K58" s="19">
        <f t="shared" si="7"/>
        <v>-23311330.425099239</v>
      </c>
    </row>
    <row r="59" spans="1:11">
      <c r="A59" s="17">
        <v>41724</v>
      </c>
      <c r="B59">
        <v>47.6</v>
      </c>
      <c r="C59">
        <v>47.66</v>
      </c>
      <c r="D59">
        <v>46.97</v>
      </c>
      <c r="E59">
        <v>46.97</v>
      </c>
      <c r="F59">
        <v>5063000</v>
      </c>
      <c r="G59">
        <v>45.21</v>
      </c>
      <c r="H59">
        <f t="shared" si="6"/>
        <v>-19020500</v>
      </c>
      <c r="I59" s="18">
        <f t="shared" si="4"/>
        <v>-1</v>
      </c>
      <c r="J59" s="19">
        <f t="shared" si="5"/>
        <v>-5063000</v>
      </c>
      <c r="K59" s="19">
        <f t="shared" si="7"/>
        <v>-28374330.425099239</v>
      </c>
    </row>
    <row r="60" spans="1:11">
      <c r="A60" s="17">
        <v>41725</v>
      </c>
      <c r="B60">
        <v>47.18</v>
      </c>
      <c r="C60">
        <v>47.63</v>
      </c>
      <c r="D60">
        <v>47.08</v>
      </c>
      <c r="E60">
        <v>47.57</v>
      </c>
      <c r="F60">
        <v>3782300</v>
      </c>
      <c r="G60">
        <v>45.79</v>
      </c>
      <c r="H60">
        <f t="shared" si="6"/>
        <v>-15238200</v>
      </c>
      <c r="I60" s="18">
        <f t="shared" si="4"/>
        <v>0.7818181818181752</v>
      </c>
      <c r="J60" s="19">
        <f t="shared" si="5"/>
        <v>2957070.909090884</v>
      </c>
      <c r="K60" s="19">
        <f t="shared" si="7"/>
        <v>-25417259.516008355</v>
      </c>
    </row>
    <row r="61" spans="1:11">
      <c r="A61" s="17">
        <v>41726</v>
      </c>
      <c r="B61">
        <v>47.9</v>
      </c>
      <c r="C61">
        <v>48.48</v>
      </c>
      <c r="D61">
        <v>47.83</v>
      </c>
      <c r="E61">
        <v>48.37</v>
      </c>
      <c r="F61">
        <v>7463100</v>
      </c>
      <c r="G61">
        <v>46.56</v>
      </c>
      <c r="H61">
        <f t="shared" si="6"/>
        <v>-7775100</v>
      </c>
      <c r="I61" s="18">
        <f t="shared" si="4"/>
        <v>0.66153846153846252</v>
      </c>
      <c r="J61" s="19">
        <f t="shared" si="5"/>
        <v>4937127.6923076995</v>
      </c>
      <c r="K61" s="19">
        <f t="shared" si="7"/>
        <v>-20480131.823700655</v>
      </c>
    </row>
    <row r="62" spans="1:11">
      <c r="A62" s="17">
        <v>41729</v>
      </c>
      <c r="B62">
        <v>48.4</v>
      </c>
      <c r="C62">
        <v>48.43</v>
      </c>
      <c r="D62">
        <v>47.97</v>
      </c>
      <c r="E62">
        <v>48.1</v>
      </c>
      <c r="F62">
        <v>4276800</v>
      </c>
      <c r="G62">
        <v>46.3</v>
      </c>
      <c r="H62">
        <f t="shared" si="6"/>
        <v>-12051900</v>
      </c>
      <c r="I62" s="18">
        <f t="shared" si="4"/>
        <v>-0.43478260869564211</v>
      </c>
      <c r="J62" s="19">
        <f t="shared" si="5"/>
        <v>-1859478.2608695221</v>
      </c>
      <c r="K62" s="19">
        <f t="shared" si="7"/>
        <v>-22339610.084570177</v>
      </c>
    </row>
    <row r="63" spans="1:11">
      <c r="A63" s="17">
        <v>41730</v>
      </c>
      <c r="B63">
        <v>48.31</v>
      </c>
      <c r="C63">
        <v>48.49</v>
      </c>
      <c r="D63">
        <v>48.27</v>
      </c>
      <c r="E63">
        <v>48.44</v>
      </c>
      <c r="F63">
        <v>3353300</v>
      </c>
      <c r="G63">
        <v>46.63</v>
      </c>
      <c r="H63">
        <f t="shared" si="6"/>
        <v>-8698600</v>
      </c>
      <c r="I63" s="18">
        <f t="shared" si="4"/>
        <v>0.54545454545450434</v>
      </c>
      <c r="J63" s="19">
        <f t="shared" si="5"/>
        <v>1829072.7272725895</v>
      </c>
      <c r="K63" s="19">
        <f t="shared" si="7"/>
        <v>-20510537.357297588</v>
      </c>
    </row>
    <row r="64" spans="1:11">
      <c r="A64" s="17">
        <v>41731</v>
      </c>
      <c r="B64">
        <v>48.62</v>
      </c>
      <c r="C64">
        <v>48.78</v>
      </c>
      <c r="D64">
        <v>48.42</v>
      </c>
      <c r="E64">
        <v>48.44</v>
      </c>
      <c r="F64">
        <v>6207900</v>
      </c>
      <c r="G64">
        <v>46.63</v>
      </c>
      <c r="H64">
        <f t="shared" si="6"/>
        <v>-8698600</v>
      </c>
      <c r="I64" s="18">
        <f t="shared" si="4"/>
        <v>-0.88888888888891082</v>
      </c>
      <c r="J64" s="19">
        <f t="shared" si="5"/>
        <v>-5518133.3333334699</v>
      </c>
      <c r="K64" s="19">
        <f t="shared" si="7"/>
        <v>-26028670.690631058</v>
      </c>
    </row>
    <row r="65" spans="1:11">
      <c r="A65" s="17">
        <v>41732</v>
      </c>
      <c r="B65">
        <v>48.41</v>
      </c>
      <c r="C65">
        <v>48.45</v>
      </c>
      <c r="D65">
        <v>48.18</v>
      </c>
      <c r="E65">
        <v>48.32</v>
      </c>
      <c r="F65">
        <v>2797400</v>
      </c>
      <c r="G65">
        <v>46.51</v>
      </c>
      <c r="H65">
        <f t="shared" si="6"/>
        <v>-11496000</v>
      </c>
      <c r="I65" s="18">
        <f t="shared" si="4"/>
        <v>3.7037037037029243E-2</v>
      </c>
      <c r="J65" s="19">
        <f t="shared" si="5"/>
        <v>103607.4074073856</v>
      </c>
      <c r="K65" s="19">
        <f t="shared" si="7"/>
        <v>-25925063.283223674</v>
      </c>
    </row>
    <row r="66" spans="1:11">
      <c r="A66" s="17">
        <v>41733</v>
      </c>
      <c r="B66">
        <v>48.67</v>
      </c>
      <c r="C66">
        <v>48.86</v>
      </c>
      <c r="D66">
        <v>48.4</v>
      </c>
      <c r="E66">
        <v>48.45</v>
      </c>
      <c r="F66">
        <v>3776300</v>
      </c>
      <c r="G66">
        <v>46.64</v>
      </c>
      <c r="H66">
        <f t="shared" si="6"/>
        <v>-7719700</v>
      </c>
      <c r="I66" s="18">
        <f t="shared" ref="I66:I97" si="8">((E66 - D66) - (C66 - E66)) / (C66-D66)</f>
        <v>-0.78260869565215574</v>
      </c>
      <c r="J66" s="19">
        <f t="shared" ref="J66:J97" si="9" xml:space="preserve"> I66 * F66</f>
        <v>-2955365.2173912358</v>
      </c>
      <c r="K66" s="19">
        <f t="shared" si="7"/>
        <v>-28880428.500614911</v>
      </c>
    </row>
    <row r="67" spans="1:11">
      <c r="A67" s="17">
        <v>41736</v>
      </c>
      <c r="B67">
        <v>48.45</v>
      </c>
      <c r="C67">
        <v>48.48</v>
      </c>
      <c r="D67">
        <v>48.1</v>
      </c>
      <c r="E67">
        <v>48.11</v>
      </c>
      <c r="F67">
        <v>2371700</v>
      </c>
      <c r="G67">
        <v>46.31</v>
      </c>
      <c r="H67">
        <f t="shared" ref="H67:H98" si="10">IF(E67 = E66, H66, IF(E67 &gt; E66, H66 + F67, H66 - F67 ))</f>
        <v>-10091400</v>
      </c>
      <c r="I67" s="18">
        <f t="shared" si="8"/>
        <v>-0.94736842105264141</v>
      </c>
      <c r="J67" s="19">
        <f t="shared" si="9"/>
        <v>-2246873.6842105496</v>
      </c>
      <c r="K67" s="19">
        <f t="shared" ref="K67:K98" si="11" xml:space="preserve"> K66 + J67</f>
        <v>-31127302.184825461</v>
      </c>
    </row>
    <row r="68" spans="1:11">
      <c r="A68" s="17">
        <v>41737</v>
      </c>
      <c r="B68">
        <v>48.28</v>
      </c>
      <c r="C68">
        <v>48.41</v>
      </c>
      <c r="D68">
        <v>47.88</v>
      </c>
      <c r="E68">
        <v>47.96</v>
      </c>
      <c r="F68">
        <v>3730500</v>
      </c>
      <c r="G68">
        <v>46.17</v>
      </c>
      <c r="H68">
        <f t="shared" si="10"/>
        <v>-13821900</v>
      </c>
      <c r="I68" s="18">
        <f t="shared" si="8"/>
        <v>-0.69811320754717288</v>
      </c>
      <c r="J68" s="19">
        <f t="shared" si="9"/>
        <v>-2604311.3207547283</v>
      </c>
      <c r="K68" s="19">
        <f t="shared" si="11"/>
        <v>-33731613.505580187</v>
      </c>
    </row>
    <row r="69" spans="1:11">
      <c r="A69" s="17">
        <v>41738</v>
      </c>
      <c r="B69">
        <v>48.56</v>
      </c>
      <c r="C69">
        <v>48.83</v>
      </c>
      <c r="D69">
        <v>48.24</v>
      </c>
      <c r="E69">
        <v>48.78</v>
      </c>
      <c r="F69">
        <v>3605500</v>
      </c>
      <c r="G69">
        <v>46.95</v>
      </c>
      <c r="H69">
        <f t="shared" si="10"/>
        <v>-10216400</v>
      </c>
      <c r="I69" s="18">
        <f t="shared" si="8"/>
        <v>0.83050847457627974</v>
      </c>
      <c r="J69" s="19">
        <f t="shared" si="9"/>
        <v>2994398.3050847766</v>
      </c>
      <c r="K69" s="19">
        <f t="shared" si="11"/>
        <v>-30737215.200495411</v>
      </c>
    </row>
    <row r="70" spans="1:11">
      <c r="A70" s="17">
        <v>41739</v>
      </c>
      <c r="B70">
        <v>48.71</v>
      </c>
      <c r="C70">
        <v>48.94</v>
      </c>
      <c r="D70">
        <v>48.24</v>
      </c>
      <c r="E70">
        <v>48.28</v>
      </c>
      <c r="F70">
        <v>3194000</v>
      </c>
      <c r="G70">
        <v>46.47</v>
      </c>
      <c r="H70">
        <f t="shared" si="10"/>
        <v>-13410400</v>
      </c>
      <c r="I70" s="18">
        <f t="shared" si="8"/>
        <v>-0.88571428571428745</v>
      </c>
      <c r="J70" s="19">
        <f t="shared" si="9"/>
        <v>-2828971.4285714342</v>
      </c>
      <c r="K70" s="19">
        <f t="shared" si="11"/>
        <v>-33566186.629066847</v>
      </c>
    </row>
    <row r="71" spans="1:11">
      <c r="A71" s="17">
        <v>41740</v>
      </c>
      <c r="B71">
        <v>47.83</v>
      </c>
      <c r="C71">
        <v>48.01</v>
      </c>
      <c r="D71">
        <v>47.45</v>
      </c>
      <c r="E71">
        <v>47.45</v>
      </c>
      <c r="F71">
        <v>6383300</v>
      </c>
      <c r="G71">
        <v>45.67</v>
      </c>
      <c r="H71">
        <f t="shared" si="10"/>
        <v>-19793700</v>
      </c>
      <c r="I71" s="18">
        <f t="shared" si="8"/>
        <v>-1</v>
      </c>
      <c r="J71" s="19">
        <f t="shared" si="9"/>
        <v>-6383300</v>
      </c>
      <c r="K71" s="19">
        <f t="shared" si="11"/>
        <v>-39949486.629066847</v>
      </c>
    </row>
    <row r="72" spans="1:11">
      <c r="A72" s="17">
        <v>41743</v>
      </c>
      <c r="B72">
        <v>47.16</v>
      </c>
      <c r="C72">
        <v>47.8</v>
      </c>
      <c r="D72">
        <v>47.14</v>
      </c>
      <c r="E72">
        <v>47.54</v>
      </c>
      <c r="F72">
        <v>4853900</v>
      </c>
      <c r="G72">
        <v>45.76</v>
      </c>
      <c r="H72">
        <f t="shared" si="10"/>
        <v>-14939800</v>
      </c>
      <c r="I72" s="18">
        <f t="shared" si="8"/>
        <v>0.21212121212121407</v>
      </c>
      <c r="J72" s="19">
        <f t="shared" si="9"/>
        <v>1029615.1515151609</v>
      </c>
      <c r="K72" s="19">
        <f t="shared" si="11"/>
        <v>-38919871.477551684</v>
      </c>
    </row>
    <row r="73" spans="1:11">
      <c r="A73" s="17">
        <v>41744</v>
      </c>
      <c r="B73">
        <v>47.82</v>
      </c>
      <c r="C73">
        <v>47.97</v>
      </c>
      <c r="D73">
        <v>47.42</v>
      </c>
      <c r="E73">
        <v>47.77</v>
      </c>
      <c r="F73">
        <v>5041700</v>
      </c>
      <c r="G73">
        <v>45.98</v>
      </c>
      <c r="H73">
        <f t="shared" si="10"/>
        <v>-9898100</v>
      </c>
      <c r="I73" s="18">
        <f t="shared" si="8"/>
        <v>0.27272727272728448</v>
      </c>
      <c r="J73" s="19">
        <f t="shared" si="9"/>
        <v>1375009.0909091502</v>
      </c>
      <c r="K73" s="19">
        <f t="shared" si="11"/>
        <v>-37544862.386642531</v>
      </c>
    </row>
    <row r="74" spans="1:11">
      <c r="A74" s="17">
        <v>41745</v>
      </c>
      <c r="B74">
        <v>48.26</v>
      </c>
      <c r="C74">
        <v>48.39</v>
      </c>
      <c r="D74">
        <v>48.1</v>
      </c>
      <c r="E74">
        <v>48.39</v>
      </c>
      <c r="F74">
        <v>3101200</v>
      </c>
      <c r="G74">
        <v>46.58</v>
      </c>
      <c r="H74">
        <f t="shared" si="10"/>
        <v>-6796900</v>
      </c>
      <c r="I74" s="18">
        <f t="shared" si="8"/>
        <v>1</v>
      </c>
      <c r="J74" s="19">
        <f t="shared" si="9"/>
        <v>3101200</v>
      </c>
      <c r="K74" s="19">
        <f t="shared" si="11"/>
        <v>-34443662.386642531</v>
      </c>
    </row>
    <row r="75" spans="1:11">
      <c r="A75" s="17">
        <v>41746</v>
      </c>
      <c r="B75">
        <v>48.59</v>
      </c>
      <c r="C75">
        <v>48.97</v>
      </c>
      <c r="D75">
        <v>48.51</v>
      </c>
      <c r="E75">
        <v>48.88</v>
      </c>
      <c r="F75">
        <v>3574700</v>
      </c>
      <c r="G75">
        <v>47.05</v>
      </c>
      <c r="H75">
        <f t="shared" si="10"/>
        <v>-3222200</v>
      </c>
      <c r="I75" s="18">
        <f t="shared" si="8"/>
        <v>0.60869565217392985</v>
      </c>
      <c r="J75" s="19">
        <f t="shared" si="9"/>
        <v>2175904.347826147</v>
      </c>
      <c r="K75" s="19">
        <f t="shared" si="11"/>
        <v>-32267758.038816385</v>
      </c>
    </row>
    <row r="76" spans="1:11">
      <c r="A76" s="17">
        <v>41750</v>
      </c>
      <c r="B76">
        <v>48.94</v>
      </c>
      <c r="C76">
        <v>49.13</v>
      </c>
      <c r="D76">
        <v>48.84</v>
      </c>
      <c r="E76">
        <v>49.03</v>
      </c>
      <c r="F76">
        <v>2639600</v>
      </c>
      <c r="G76">
        <v>47.2</v>
      </c>
      <c r="H76">
        <f t="shared" si="10"/>
        <v>-582600</v>
      </c>
      <c r="I76" s="18">
        <f t="shared" si="8"/>
        <v>0.31034482758619508</v>
      </c>
      <c r="J76" s="19">
        <f t="shared" si="9"/>
        <v>819186.20689652057</v>
      </c>
      <c r="K76" s="19">
        <f t="shared" si="11"/>
        <v>-31448571.831919864</v>
      </c>
    </row>
    <row r="77" spans="1:11">
      <c r="A77" s="17">
        <v>41751</v>
      </c>
      <c r="B77">
        <v>49.14</v>
      </c>
      <c r="C77">
        <v>49.21</v>
      </c>
      <c r="D77">
        <v>48.96</v>
      </c>
      <c r="E77">
        <v>49.04</v>
      </c>
      <c r="F77">
        <v>2638600</v>
      </c>
      <c r="G77">
        <v>47.2</v>
      </c>
      <c r="H77">
        <f t="shared" si="10"/>
        <v>2056000</v>
      </c>
      <c r="I77" s="18">
        <f t="shared" si="8"/>
        <v>-0.36000000000001364</v>
      </c>
      <c r="J77" s="19">
        <f t="shared" si="9"/>
        <v>-949896.00000003597</v>
      </c>
      <c r="K77" s="19">
        <f t="shared" si="11"/>
        <v>-32398467.831919901</v>
      </c>
    </row>
    <row r="78" spans="1:11">
      <c r="A78" s="17">
        <v>41752</v>
      </c>
      <c r="B78">
        <v>48.85</v>
      </c>
      <c r="C78">
        <v>48.96</v>
      </c>
      <c r="D78">
        <v>48.72</v>
      </c>
      <c r="E78">
        <v>48.81</v>
      </c>
      <c r="F78">
        <v>3413600</v>
      </c>
      <c r="G78">
        <v>46.98</v>
      </c>
      <c r="H78">
        <f t="shared" si="10"/>
        <v>-1357600</v>
      </c>
      <c r="I78" s="18">
        <f t="shared" si="8"/>
        <v>-0.2499999999999778</v>
      </c>
      <c r="J78" s="19">
        <f t="shared" si="9"/>
        <v>-853399.99999992421</v>
      </c>
      <c r="K78" s="19">
        <f t="shared" si="11"/>
        <v>-33251867.831919827</v>
      </c>
    </row>
    <row r="79" spans="1:11">
      <c r="A79" s="17">
        <v>41753</v>
      </c>
      <c r="B79">
        <v>49.17</v>
      </c>
      <c r="C79">
        <v>49.5</v>
      </c>
      <c r="D79">
        <v>48.96</v>
      </c>
      <c r="E79">
        <v>49.39</v>
      </c>
      <c r="F79">
        <v>4960100</v>
      </c>
      <c r="G79">
        <v>47.54</v>
      </c>
      <c r="H79">
        <f t="shared" si="10"/>
        <v>3602500</v>
      </c>
      <c r="I79" s="18">
        <f t="shared" si="8"/>
        <v>0.592592592592594</v>
      </c>
      <c r="J79" s="19">
        <f t="shared" si="9"/>
        <v>2939318.5185185256</v>
      </c>
      <c r="K79" s="19">
        <f t="shared" si="11"/>
        <v>-30312549.3134013</v>
      </c>
    </row>
    <row r="80" spans="1:11">
      <c r="A80" s="17">
        <v>41754</v>
      </c>
      <c r="B80">
        <v>49.89</v>
      </c>
      <c r="C80">
        <v>50.02</v>
      </c>
      <c r="D80">
        <v>49.67</v>
      </c>
      <c r="E80">
        <v>49.72</v>
      </c>
      <c r="F80">
        <v>4727200</v>
      </c>
      <c r="G80">
        <v>47.86</v>
      </c>
      <c r="H80">
        <f t="shared" si="10"/>
        <v>8329700</v>
      </c>
      <c r="I80" s="18">
        <f t="shared" si="8"/>
        <v>-0.71428571428573173</v>
      </c>
      <c r="J80" s="19">
        <f t="shared" si="9"/>
        <v>-3376571.4285715111</v>
      </c>
      <c r="K80" s="19">
        <f t="shared" si="11"/>
        <v>-33689120.741972812</v>
      </c>
    </row>
    <row r="81" spans="1:11">
      <c r="A81" s="17">
        <v>41757</v>
      </c>
      <c r="B81">
        <v>49.27</v>
      </c>
      <c r="C81">
        <v>49.35</v>
      </c>
      <c r="D81">
        <v>48.9</v>
      </c>
      <c r="E81">
        <v>49.04</v>
      </c>
      <c r="F81">
        <v>4998100</v>
      </c>
      <c r="G81">
        <v>47.2</v>
      </c>
      <c r="H81">
        <f t="shared" si="10"/>
        <v>3331600</v>
      </c>
      <c r="I81" s="18">
        <f t="shared" si="8"/>
        <v>-0.37777777777777916</v>
      </c>
      <c r="J81" s="19">
        <f t="shared" si="9"/>
        <v>-1888171.111111118</v>
      </c>
      <c r="K81" s="19">
        <f t="shared" si="11"/>
        <v>-35577291.853083931</v>
      </c>
    </row>
    <row r="82" spans="1:11">
      <c r="A82" s="17">
        <v>41758</v>
      </c>
      <c r="B82">
        <v>49.98</v>
      </c>
      <c r="C82">
        <v>50.73</v>
      </c>
      <c r="D82">
        <v>49.94</v>
      </c>
      <c r="E82">
        <v>50.29</v>
      </c>
      <c r="F82">
        <v>7620800</v>
      </c>
      <c r="G82">
        <v>48.41</v>
      </c>
      <c r="H82">
        <f t="shared" si="10"/>
        <v>10952400</v>
      </c>
      <c r="I82" s="18">
        <f t="shared" si="8"/>
        <v>-0.11392405063290684</v>
      </c>
      <c r="J82" s="19">
        <f t="shared" si="9"/>
        <v>-868192.40506325639</v>
      </c>
      <c r="K82" s="19">
        <f t="shared" si="11"/>
        <v>-36445484.258147188</v>
      </c>
    </row>
    <row r="83" spans="1:11">
      <c r="A83" s="17">
        <v>41759</v>
      </c>
      <c r="B83">
        <v>50.67</v>
      </c>
      <c r="C83">
        <v>50.77</v>
      </c>
      <c r="D83">
        <v>50.39</v>
      </c>
      <c r="E83">
        <v>50.62</v>
      </c>
      <c r="F83">
        <v>7198000</v>
      </c>
      <c r="G83">
        <v>48.73</v>
      </c>
      <c r="H83">
        <f t="shared" si="10"/>
        <v>18150400</v>
      </c>
      <c r="I83" s="18">
        <f t="shared" si="8"/>
        <v>0.21052631578944908</v>
      </c>
      <c r="J83" s="19">
        <f t="shared" si="9"/>
        <v>1515368.4210524545</v>
      </c>
      <c r="K83" s="19">
        <f t="shared" si="11"/>
        <v>-34930115.837094732</v>
      </c>
    </row>
    <row r="84" spans="1:11">
      <c r="A84" s="17">
        <v>41760</v>
      </c>
      <c r="B84">
        <v>50.56</v>
      </c>
      <c r="C84">
        <v>50.57</v>
      </c>
      <c r="D84">
        <v>50.25</v>
      </c>
      <c r="E84">
        <v>50.4</v>
      </c>
      <c r="F84">
        <v>3212600</v>
      </c>
      <c r="G84">
        <v>48.51</v>
      </c>
      <c r="H84">
        <f t="shared" si="10"/>
        <v>14937800</v>
      </c>
      <c r="I84" s="18">
        <f t="shared" si="8"/>
        <v>-6.2500000000009714E-2</v>
      </c>
      <c r="J84" s="19">
        <f t="shared" si="9"/>
        <v>-200787.5000000312</v>
      </c>
      <c r="K84" s="19">
        <f t="shared" si="11"/>
        <v>-35130903.337094761</v>
      </c>
    </row>
    <row r="85" spans="1:11">
      <c r="A85" s="17">
        <v>41761</v>
      </c>
      <c r="B85">
        <v>50.69</v>
      </c>
      <c r="C85">
        <v>50.92</v>
      </c>
      <c r="D85">
        <v>50.52</v>
      </c>
      <c r="E85">
        <v>50.87</v>
      </c>
      <c r="F85">
        <v>3317900</v>
      </c>
      <c r="G85">
        <v>48.97</v>
      </c>
      <c r="H85">
        <f t="shared" si="10"/>
        <v>18255700</v>
      </c>
      <c r="I85" s="18">
        <f t="shared" si="8"/>
        <v>0.7499999999999778</v>
      </c>
      <c r="J85" s="19">
        <f t="shared" si="9"/>
        <v>2488424.9999999264</v>
      </c>
      <c r="K85" s="19">
        <f t="shared" si="11"/>
        <v>-32642478.337094836</v>
      </c>
    </row>
    <row r="86" spans="1:11">
      <c r="A86" s="17">
        <v>41764</v>
      </c>
      <c r="B86">
        <v>50.67</v>
      </c>
      <c r="C86">
        <v>50.9</v>
      </c>
      <c r="D86">
        <v>50.58</v>
      </c>
      <c r="E86">
        <v>50.81</v>
      </c>
      <c r="F86">
        <v>3186900</v>
      </c>
      <c r="G86">
        <v>48.91</v>
      </c>
      <c r="H86">
        <f t="shared" si="10"/>
        <v>15068800</v>
      </c>
      <c r="I86" s="18">
        <f t="shared" si="8"/>
        <v>0.43750000000002359</v>
      </c>
      <c r="J86" s="19">
        <f t="shared" si="9"/>
        <v>1394268.7500000752</v>
      </c>
      <c r="K86" s="19">
        <f t="shared" si="11"/>
        <v>-31248209.587094761</v>
      </c>
    </row>
    <row r="87" spans="1:11">
      <c r="A87" s="17">
        <v>41765</v>
      </c>
      <c r="B87">
        <v>51.01</v>
      </c>
      <c r="C87">
        <v>51.23</v>
      </c>
      <c r="D87">
        <v>50.92</v>
      </c>
      <c r="E87">
        <v>51.12</v>
      </c>
      <c r="F87">
        <v>5644400</v>
      </c>
      <c r="G87">
        <v>49.21</v>
      </c>
      <c r="H87">
        <f t="shared" si="10"/>
        <v>20713200</v>
      </c>
      <c r="I87" s="18">
        <f t="shared" si="8"/>
        <v>0.29032258064515387</v>
      </c>
      <c r="J87" s="19">
        <f t="shared" si="9"/>
        <v>1638696.7741935065</v>
      </c>
      <c r="K87" s="19">
        <f t="shared" si="11"/>
        <v>-29609512.812901255</v>
      </c>
    </row>
    <row r="88" spans="1:11">
      <c r="A88" s="17">
        <v>41766</v>
      </c>
      <c r="B88">
        <v>51.08</v>
      </c>
      <c r="C88">
        <v>51.25</v>
      </c>
      <c r="D88">
        <v>50.78</v>
      </c>
      <c r="E88">
        <v>51.02</v>
      </c>
      <c r="F88">
        <v>6850400</v>
      </c>
      <c r="G88">
        <v>49.68</v>
      </c>
      <c r="H88">
        <f t="shared" si="10"/>
        <v>13862800</v>
      </c>
      <c r="I88" s="18">
        <f t="shared" si="8"/>
        <v>2.1276595744691786E-2</v>
      </c>
      <c r="J88" s="19">
        <f t="shared" si="9"/>
        <v>145753.19148943661</v>
      </c>
      <c r="K88" s="19">
        <f t="shared" si="11"/>
        <v>-29463759.621411819</v>
      </c>
    </row>
    <row r="89" spans="1:11">
      <c r="A89" s="17">
        <v>41767</v>
      </c>
      <c r="B89">
        <v>51.36</v>
      </c>
      <c r="C89">
        <v>51.38</v>
      </c>
      <c r="D89">
        <v>50.77</v>
      </c>
      <c r="E89">
        <v>50.78</v>
      </c>
      <c r="F89">
        <v>6879300</v>
      </c>
      <c r="G89">
        <v>49.45</v>
      </c>
      <c r="H89">
        <f t="shared" si="10"/>
        <v>6983500</v>
      </c>
      <c r="I89" s="18">
        <f t="shared" si="8"/>
        <v>-0.96721311475410487</v>
      </c>
      <c r="J89" s="19">
        <f t="shared" si="9"/>
        <v>-6653749.1803279137</v>
      </c>
      <c r="K89" s="19">
        <f t="shared" si="11"/>
        <v>-36117508.80173973</v>
      </c>
    </row>
    <row r="90" spans="1:11">
      <c r="A90" s="17">
        <v>41768</v>
      </c>
      <c r="B90">
        <v>50.74</v>
      </c>
      <c r="C90">
        <v>50.75</v>
      </c>
      <c r="D90">
        <v>50.39</v>
      </c>
      <c r="E90">
        <v>50.56</v>
      </c>
      <c r="F90">
        <v>3553000</v>
      </c>
      <c r="G90">
        <v>49.23</v>
      </c>
      <c r="H90">
        <f t="shared" si="10"/>
        <v>3430500</v>
      </c>
      <c r="I90" s="18">
        <f t="shared" si="8"/>
        <v>-5.5555555555544589E-2</v>
      </c>
      <c r="J90" s="19">
        <f t="shared" si="9"/>
        <v>-197388.88888884994</v>
      </c>
      <c r="K90" s="19">
        <f t="shared" si="11"/>
        <v>-36314897.690628581</v>
      </c>
    </row>
    <row r="91" spans="1:11">
      <c r="A91" s="17">
        <v>41771</v>
      </c>
      <c r="B91">
        <v>50.88</v>
      </c>
      <c r="C91">
        <v>50.94</v>
      </c>
      <c r="D91">
        <v>50.63</v>
      </c>
      <c r="E91">
        <v>50.7</v>
      </c>
      <c r="F91">
        <v>4856400</v>
      </c>
      <c r="G91">
        <v>49.37</v>
      </c>
      <c r="H91">
        <f t="shared" si="10"/>
        <v>8286900</v>
      </c>
      <c r="I91" s="18">
        <f t="shared" si="8"/>
        <v>-0.54838709677418462</v>
      </c>
      <c r="J91" s="19">
        <f t="shared" si="9"/>
        <v>-2663187.0967741502</v>
      </c>
      <c r="K91" s="19">
        <f t="shared" si="11"/>
        <v>-38978084.787402734</v>
      </c>
    </row>
    <row r="92" spans="1:11">
      <c r="A92" s="17">
        <v>41772</v>
      </c>
      <c r="B92">
        <v>50.57</v>
      </c>
      <c r="C92">
        <v>50.62</v>
      </c>
      <c r="D92">
        <v>50.41</v>
      </c>
      <c r="E92">
        <v>50.51</v>
      </c>
      <c r="F92">
        <v>4211800</v>
      </c>
      <c r="G92">
        <v>49.18</v>
      </c>
      <c r="H92">
        <f t="shared" si="10"/>
        <v>4075100</v>
      </c>
      <c r="I92" s="18">
        <f t="shared" si="8"/>
        <v>-4.7619047619037951E-2</v>
      </c>
      <c r="J92" s="19">
        <f t="shared" si="9"/>
        <v>-200561.90476186405</v>
      </c>
      <c r="K92" s="19">
        <f t="shared" si="11"/>
        <v>-39178646.6921646</v>
      </c>
    </row>
    <row r="93" spans="1:11">
      <c r="A93" s="17">
        <v>41773</v>
      </c>
      <c r="B93">
        <v>50.22</v>
      </c>
      <c r="C93">
        <v>50.72</v>
      </c>
      <c r="D93">
        <v>50.21</v>
      </c>
      <c r="E93">
        <v>50.43</v>
      </c>
      <c r="F93">
        <v>2435300</v>
      </c>
      <c r="G93">
        <v>49.1</v>
      </c>
      <c r="H93">
        <f t="shared" si="10"/>
        <v>1639800</v>
      </c>
      <c r="I93" s="18">
        <f t="shared" si="8"/>
        <v>-0.13725490196078541</v>
      </c>
      <c r="J93" s="19">
        <f t="shared" si="9"/>
        <v>-334256.86274510069</v>
      </c>
      <c r="K93" s="19">
        <f t="shared" si="11"/>
        <v>-39512903.554909699</v>
      </c>
    </row>
    <row r="94" spans="1:11">
      <c r="A94" s="17">
        <v>41774</v>
      </c>
      <c r="B94">
        <v>50.7</v>
      </c>
      <c r="C94">
        <v>50.99</v>
      </c>
      <c r="D94">
        <v>50.34</v>
      </c>
      <c r="E94">
        <v>50.9</v>
      </c>
      <c r="F94">
        <v>7527300</v>
      </c>
      <c r="G94">
        <v>49.56</v>
      </c>
      <c r="H94">
        <f t="shared" si="10"/>
        <v>9167100</v>
      </c>
      <c r="I94" s="18">
        <f t="shared" si="8"/>
        <v>0.72307692307691196</v>
      </c>
      <c r="J94" s="19">
        <f t="shared" si="9"/>
        <v>5442816.9230768392</v>
      </c>
      <c r="K94" s="19">
        <f t="shared" si="11"/>
        <v>-34070086.63183286</v>
      </c>
    </row>
    <row r="95" spans="1:11">
      <c r="A95" s="17">
        <v>41775</v>
      </c>
      <c r="B95">
        <v>51.02</v>
      </c>
      <c r="C95">
        <v>51.43</v>
      </c>
      <c r="D95">
        <v>50.94</v>
      </c>
      <c r="E95">
        <v>51.3</v>
      </c>
      <c r="F95">
        <v>5618400</v>
      </c>
      <c r="G95">
        <v>49.95</v>
      </c>
      <c r="H95">
        <f t="shared" si="10"/>
        <v>14785500</v>
      </c>
      <c r="I95" s="18">
        <f t="shared" si="8"/>
        <v>0.46938775510203251</v>
      </c>
      <c r="J95" s="19">
        <f t="shared" si="9"/>
        <v>2637208.1632652595</v>
      </c>
      <c r="K95" s="19">
        <f t="shared" si="11"/>
        <v>-31432878.468567602</v>
      </c>
    </row>
    <row r="96" spans="1:11">
      <c r="A96" s="17">
        <v>41778</v>
      </c>
      <c r="B96">
        <v>51.33</v>
      </c>
      <c r="C96">
        <v>51.45</v>
      </c>
      <c r="D96">
        <v>51.23</v>
      </c>
      <c r="E96">
        <v>51.36</v>
      </c>
      <c r="F96">
        <v>3837800</v>
      </c>
      <c r="G96">
        <v>50.01</v>
      </c>
      <c r="H96">
        <f t="shared" si="10"/>
        <v>18623300</v>
      </c>
      <c r="I96" s="18">
        <f t="shared" si="8"/>
        <v>0.181818181818173</v>
      </c>
      <c r="J96" s="19">
        <f t="shared" si="9"/>
        <v>697781.81818178436</v>
      </c>
      <c r="K96" s="19">
        <f t="shared" si="11"/>
        <v>-30735096.650385819</v>
      </c>
    </row>
    <row r="97" spans="1:11">
      <c r="A97" s="17">
        <v>41779</v>
      </c>
      <c r="B97">
        <v>50.97</v>
      </c>
      <c r="C97">
        <v>51.2</v>
      </c>
      <c r="D97">
        <v>50.82</v>
      </c>
      <c r="E97">
        <v>50.91</v>
      </c>
      <c r="F97">
        <v>2959800</v>
      </c>
      <c r="G97">
        <v>49.57</v>
      </c>
      <c r="H97">
        <f t="shared" si="10"/>
        <v>15663500</v>
      </c>
      <c r="I97" s="18">
        <f t="shared" si="8"/>
        <v>-0.52631578947370683</v>
      </c>
      <c r="J97" s="19">
        <f t="shared" si="9"/>
        <v>-1557789.4736842774</v>
      </c>
      <c r="K97" s="19">
        <f t="shared" si="11"/>
        <v>-32292886.124070097</v>
      </c>
    </row>
    <row r="98" spans="1:11">
      <c r="A98" s="17">
        <v>41780</v>
      </c>
      <c r="B98">
        <v>51.4</v>
      </c>
      <c r="C98">
        <v>51.56</v>
      </c>
      <c r="D98">
        <v>51.27</v>
      </c>
      <c r="E98">
        <v>51.47</v>
      </c>
      <c r="F98">
        <v>3933300</v>
      </c>
      <c r="G98">
        <v>50.12</v>
      </c>
      <c r="H98">
        <f t="shared" si="10"/>
        <v>19596800</v>
      </c>
      <c r="I98" s="18">
        <f t="shared" ref="I98:I126" si="12">((E98 - D98) - (C98 - E98)) / (C98-D98)</f>
        <v>0.37931034482756087</v>
      </c>
      <c r="J98" s="19">
        <f t="shared" ref="J98:J126" si="13" xml:space="preserve"> I98 * F98</f>
        <v>1491941.3793102452</v>
      </c>
      <c r="K98" s="19">
        <f t="shared" si="11"/>
        <v>-30800944.74475985</v>
      </c>
    </row>
    <row r="99" spans="1:11">
      <c r="A99" s="17">
        <v>41781</v>
      </c>
      <c r="B99">
        <v>51.18</v>
      </c>
      <c r="C99">
        <v>51.42</v>
      </c>
      <c r="D99">
        <v>51.16</v>
      </c>
      <c r="E99">
        <v>51.21</v>
      </c>
      <c r="F99">
        <v>2246600</v>
      </c>
      <c r="G99">
        <v>49.86</v>
      </c>
      <c r="H99">
        <f t="shared" ref="H99:H126" si="14">IF(E99 = E98, H98, IF(E99 &gt; E98, H98 + F99, H98 - F99 ))</f>
        <v>17350200</v>
      </c>
      <c r="I99" s="18">
        <f t="shared" si="12"/>
        <v>-0.61538461538459011</v>
      </c>
      <c r="J99" s="19">
        <f t="shared" si="13"/>
        <v>-1382523.0769230202</v>
      </c>
      <c r="K99" s="19">
        <f t="shared" ref="K99:K126" si="15" xml:space="preserve"> K98 + J99</f>
        <v>-32183467.82168287</v>
      </c>
    </row>
    <row r="100" spans="1:11">
      <c r="A100" s="17">
        <v>41782</v>
      </c>
      <c r="B100">
        <v>51.16</v>
      </c>
      <c r="C100">
        <v>51.21</v>
      </c>
      <c r="D100">
        <v>50.97</v>
      </c>
      <c r="E100">
        <v>51.1</v>
      </c>
      <c r="F100">
        <v>3507300</v>
      </c>
      <c r="G100">
        <v>49.76</v>
      </c>
      <c r="H100">
        <f t="shared" si="14"/>
        <v>13842900</v>
      </c>
      <c r="I100" s="18">
        <f t="shared" si="12"/>
        <v>8.3333333333345666E-2</v>
      </c>
      <c r="J100" s="19">
        <f t="shared" si="13"/>
        <v>292275.00000004325</v>
      </c>
      <c r="K100" s="19">
        <f t="shared" si="15"/>
        <v>-31891192.821682826</v>
      </c>
    </row>
    <row r="101" spans="1:11">
      <c r="A101" s="17">
        <v>41786</v>
      </c>
      <c r="B101">
        <v>50.98</v>
      </c>
      <c r="C101">
        <v>51.04</v>
      </c>
      <c r="D101">
        <v>50.67</v>
      </c>
      <c r="E101">
        <v>50.7</v>
      </c>
      <c r="F101">
        <v>3507000</v>
      </c>
      <c r="G101">
        <v>49.37</v>
      </c>
      <c r="H101">
        <f t="shared" si="14"/>
        <v>10335900</v>
      </c>
      <c r="I101" s="18">
        <f t="shared" si="12"/>
        <v>-0.83783783783783061</v>
      </c>
      <c r="J101" s="19">
        <f t="shared" si="13"/>
        <v>-2938297.2972972719</v>
      </c>
      <c r="K101" s="19">
        <f t="shared" si="15"/>
        <v>-34829490.118980095</v>
      </c>
    </row>
    <row r="102" spans="1:11">
      <c r="A102" s="17">
        <v>41787</v>
      </c>
      <c r="B102">
        <v>50.69</v>
      </c>
      <c r="C102">
        <v>50.9</v>
      </c>
      <c r="D102">
        <v>50.65</v>
      </c>
      <c r="E102">
        <v>50.67</v>
      </c>
      <c r="F102">
        <v>2628300</v>
      </c>
      <c r="G102">
        <v>49.34</v>
      </c>
      <c r="H102">
        <f t="shared" si="14"/>
        <v>7707600</v>
      </c>
      <c r="I102" s="18">
        <f t="shared" si="12"/>
        <v>-0.83999999999997499</v>
      </c>
      <c r="J102" s="19">
        <f t="shared" si="13"/>
        <v>-2207771.9999999343</v>
      </c>
      <c r="K102" s="19">
        <f t="shared" si="15"/>
        <v>-37037262.118980028</v>
      </c>
    </row>
    <row r="103" spans="1:11">
      <c r="A103" s="17">
        <v>41788</v>
      </c>
      <c r="B103">
        <v>50.76</v>
      </c>
      <c r="C103">
        <v>50.78</v>
      </c>
      <c r="D103">
        <v>50.59</v>
      </c>
      <c r="E103">
        <v>50.65</v>
      </c>
      <c r="F103">
        <v>2476900</v>
      </c>
      <c r="G103">
        <v>49.32</v>
      </c>
      <c r="H103">
        <f t="shared" si="14"/>
        <v>5230700</v>
      </c>
      <c r="I103" s="18">
        <f t="shared" si="12"/>
        <v>-0.36842105263162223</v>
      </c>
      <c r="J103" s="19">
        <f t="shared" si="13"/>
        <v>-912542.10526326508</v>
      </c>
      <c r="K103" s="19">
        <f t="shared" si="15"/>
        <v>-37949804.224243291</v>
      </c>
    </row>
    <row r="104" spans="1:11">
      <c r="A104" s="17">
        <v>41789</v>
      </c>
      <c r="B104">
        <v>50.59</v>
      </c>
      <c r="C104">
        <v>50.63</v>
      </c>
      <c r="D104">
        <v>50.34</v>
      </c>
      <c r="E104">
        <v>50.45</v>
      </c>
      <c r="F104">
        <v>2837200</v>
      </c>
      <c r="G104">
        <v>49.12</v>
      </c>
      <c r="H104">
        <f t="shared" si="14"/>
        <v>2393500</v>
      </c>
      <c r="I104" s="18">
        <f t="shared" si="12"/>
        <v>-0.24137931034482929</v>
      </c>
      <c r="J104" s="19">
        <f t="shared" si="13"/>
        <v>-684841.3793103497</v>
      </c>
      <c r="K104" s="19">
        <f t="shared" si="15"/>
        <v>-38634645.603553638</v>
      </c>
    </row>
    <row r="105" spans="1:11">
      <c r="A105" s="17">
        <v>41792</v>
      </c>
      <c r="B105">
        <v>50.76</v>
      </c>
      <c r="C105">
        <v>50.86</v>
      </c>
      <c r="D105">
        <v>50.49</v>
      </c>
      <c r="E105">
        <v>50.58</v>
      </c>
      <c r="F105">
        <v>4517800</v>
      </c>
      <c r="G105">
        <v>49.25</v>
      </c>
      <c r="H105">
        <f t="shared" si="14"/>
        <v>6911300</v>
      </c>
      <c r="I105" s="18">
        <f t="shared" si="12"/>
        <v>-0.51351351351353014</v>
      </c>
      <c r="J105" s="19">
        <f t="shared" si="13"/>
        <v>-2319951.3513514264</v>
      </c>
      <c r="K105" s="19">
        <f t="shared" si="15"/>
        <v>-40954596.954905063</v>
      </c>
    </row>
    <row r="106" spans="1:11">
      <c r="A106" s="17">
        <v>41793</v>
      </c>
      <c r="B106">
        <v>50.5</v>
      </c>
      <c r="C106">
        <v>50.56</v>
      </c>
      <c r="D106">
        <v>50.34</v>
      </c>
      <c r="E106">
        <v>50.52</v>
      </c>
      <c r="F106">
        <v>2972600</v>
      </c>
      <c r="G106">
        <v>49.19</v>
      </c>
      <c r="H106">
        <f t="shared" si="14"/>
        <v>3938700</v>
      </c>
      <c r="I106" s="18">
        <f t="shared" si="12"/>
        <v>0.63636363636364224</v>
      </c>
      <c r="J106" s="19">
        <f t="shared" si="13"/>
        <v>1891654.5454545629</v>
      </c>
      <c r="K106" s="19">
        <f t="shared" si="15"/>
        <v>-39062942.409450501</v>
      </c>
    </row>
    <row r="107" spans="1:11">
      <c r="A107" s="17">
        <v>41794</v>
      </c>
      <c r="B107">
        <v>50.07</v>
      </c>
      <c r="C107">
        <v>50.12</v>
      </c>
      <c r="D107">
        <v>49.87</v>
      </c>
      <c r="E107">
        <v>50.07</v>
      </c>
      <c r="F107">
        <v>4315300</v>
      </c>
      <c r="G107">
        <v>48.75</v>
      </c>
      <c r="H107">
        <f t="shared" si="14"/>
        <v>-376600</v>
      </c>
      <c r="I107" s="18">
        <f t="shared" si="12"/>
        <v>0.60000000000002274</v>
      </c>
      <c r="J107" s="19">
        <f t="shared" si="13"/>
        <v>2589180.0000000983</v>
      </c>
      <c r="K107" s="19">
        <f t="shared" si="15"/>
        <v>-36473762.409450404</v>
      </c>
    </row>
    <row r="108" spans="1:11">
      <c r="A108" s="17">
        <v>41795</v>
      </c>
      <c r="B108">
        <v>50.36</v>
      </c>
      <c r="C108">
        <v>50.48</v>
      </c>
      <c r="D108">
        <v>50.14</v>
      </c>
      <c r="E108">
        <v>50.44</v>
      </c>
      <c r="F108">
        <v>1825200</v>
      </c>
      <c r="G108">
        <v>49.11</v>
      </c>
      <c r="H108">
        <f t="shared" si="14"/>
        <v>1448600</v>
      </c>
      <c r="I108" s="18">
        <f t="shared" si="12"/>
        <v>0.76470588235294368</v>
      </c>
      <c r="J108" s="19">
        <f t="shared" si="13"/>
        <v>1395741.1764705929</v>
      </c>
      <c r="K108" s="19">
        <f t="shared" si="15"/>
        <v>-35078021.232979812</v>
      </c>
    </row>
    <row r="109" spans="1:11">
      <c r="A109" s="17">
        <v>41796</v>
      </c>
      <c r="B109">
        <v>50.48</v>
      </c>
      <c r="C109">
        <v>50.88</v>
      </c>
      <c r="D109">
        <v>50.45</v>
      </c>
      <c r="E109">
        <v>50.81</v>
      </c>
      <c r="F109">
        <v>3224600</v>
      </c>
      <c r="G109">
        <v>49.47</v>
      </c>
      <c r="H109">
        <f t="shared" si="14"/>
        <v>4673200</v>
      </c>
      <c r="I109" s="18">
        <f t="shared" si="12"/>
        <v>0.67441860465116121</v>
      </c>
      <c r="J109" s="19">
        <f t="shared" si="13"/>
        <v>2174730.2325581345</v>
      </c>
      <c r="K109" s="19">
        <f t="shared" si="15"/>
        <v>-32903291.000421677</v>
      </c>
    </row>
    <row r="110" spans="1:11">
      <c r="A110" s="17">
        <v>41799</v>
      </c>
      <c r="B110">
        <v>50.87</v>
      </c>
      <c r="C110">
        <v>50.94</v>
      </c>
      <c r="D110">
        <v>50.7</v>
      </c>
      <c r="E110">
        <v>50.84</v>
      </c>
      <c r="F110">
        <v>2139300</v>
      </c>
      <c r="G110">
        <v>49.5</v>
      </c>
      <c r="H110">
        <f t="shared" si="14"/>
        <v>6812500</v>
      </c>
      <c r="I110" s="18">
        <f t="shared" si="12"/>
        <v>0.16666666666669627</v>
      </c>
      <c r="J110" s="19">
        <f t="shared" si="13"/>
        <v>356550.00000006333</v>
      </c>
      <c r="K110" s="19">
        <f t="shared" si="15"/>
        <v>-32546741.000421613</v>
      </c>
    </row>
    <row r="111" spans="1:11">
      <c r="A111" s="17">
        <v>41800</v>
      </c>
      <c r="B111">
        <v>50.77</v>
      </c>
      <c r="C111">
        <v>50.99</v>
      </c>
      <c r="D111">
        <v>50.67</v>
      </c>
      <c r="E111">
        <v>50.95</v>
      </c>
      <c r="F111">
        <v>2995500</v>
      </c>
      <c r="G111">
        <v>49.61</v>
      </c>
      <c r="H111">
        <f t="shared" si="14"/>
        <v>9808000</v>
      </c>
      <c r="I111" s="18">
        <f t="shared" si="12"/>
        <v>0.75000000000000555</v>
      </c>
      <c r="J111" s="19">
        <f t="shared" si="13"/>
        <v>2246625.0000000168</v>
      </c>
      <c r="K111" s="19">
        <f t="shared" si="15"/>
        <v>-30300116.000421599</v>
      </c>
    </row>
    <row r="112" spans="1:11">
      <c r="A112" s="17">
        <v>41801</v>
      </c>
      <c r="B112">
        <v>50.75</v>
      </c>
      <c r="C112">
        <v>50.98</v>
      </c>
      <c r="D112">
        <v>50.71</v>
      </c>
      <c r="E112">
        <v>50.86</v>
      </c>
      <c r="F112">
        <v>1724500</v>
      </c>
      <c r="G112">
        <v>49.52</v>
      </c>
      <c r="H112">
        <f t="shared" si="14"/>
        <v>8083500</v>
      </c>
      <c r="I112" s="18">
        <f t="shared" si="12"/>
        <v>0.11111111111111696</v>
      </c>
      <c r="J112" s="19">
        <f t="shared" si="13"/>
        <v>191611.11111112119</v>
      </c>
      <c r="K112" s="19">
        <f t="shared" si="15"/>
        <v>-30108504.889310479</v>
      </c>
    </row>
    <row r="113" spans="1:11">
      <c r="A113" s="17">
        <v>41802</v>
      </c>
      <c r="B113">
        <v>51.05</v>
      </c>
      <c r="C113">
        <v>51.59</v>
      </c>
      <c r="D113">
        <v>51.04</v>
      </c>
      <c r="E113">
        <v>51.34</v>
      </c>
      <c r="F113">
        <v>4212300</v>
      </c>
      <c r="G113">
        <v>49.99</v>
      </c>
      <c r="H113">
        <f t="shared" si="14"/>
        <v>12295800</v>
      </c>
      <c r="I113" s="18">
        <f t="shared" si="12"/>
        <v>9.0909090909097962E-2</v>
      </c>
      <c r="J113" s="19">
        <f t="shared" si="13"/>
        <v>382936.36363639333</v>
      </c>
      <c r="K113" s="19">
        <f t="shared" si="15"/>
        <v>-29725568.525674086</v>
      </c>
    </row>
    <row r="114" spans="1:11">
      <c r="A114" s="17">
        <v>41803</v>
      </c>
      <c r="B114">
        <v>51.9</v>
      </c>
      <c r="C114">
        <v>52.05</v>
      </c>
      <c r="D114">
        <v>51.55</v>
      </c>
      <c r="E114">
        <v>51.68</v>
      </c>
      <c r="F114">
        <v>5407800</v>
      </c>
      <c r="G114">
        <v>50.32</v>
      </c>
      <c r="H114">
        <f t="shared" si="14"/>
        <v>17703600</v>
      </c>
      <c r="I114" s="18">
        <f t="shared" si="12"/>
        <v>-0.47999999999998977</v>
      </c>
      <c r="J114" s="19">
        <f t="shared" si="13"/>
        <v>-2595743.9999999446</v>
      </c>
      <c r="K114" s="19">
        <f t="shared" si="15"/>
        <v>-32321312.52567403</v>
      </c>
    </row>
    <row r="115" spans="1:11">
      <c r="A115" s="17">
        <v>41806</v>
      </c>
      <c r="B115">
        <v>51.59</v>
      </c>
      <c r="C115">
        <v>51.83</v>
      </c>
      <c r="D115">
        <v>51.5</v>
      </c>
      <c r="E115">
        <v>51.74</v>
      </c>
      <c r="F115">
        <v>3497400</v>
      </c>
      <c r="G115">
        <v>50.38</v>
      </c>
      <c r="H115">
        <f t="shared" si="14"/>
        <v>21201000</v>
      </c>
      <c r="I115" s="18">
        <f t="shared" si="12"/>
        <v>0.45454545454547413</v>
      </c>
      <c r="J115" s="19">
        <f t="shared" si="13"/>
        <v>1589727.2727273412</v>
      </c>
      <c r="K115" s="19">
        <f t="shared" si="15"/>
        <v>-30731585.25294669</v>
      </c>
    </row>
    <row r="116" spans="1:11">
      <c r="A116" s="17">
        <v>41807</v>
      </c>
      <c r="B116">
        <v>51.38</v>
      </c>
      <c r="C116">
        <v>51.65</v>
      </c>
      <c r="D116">
        <v>51.29</v>
      </c>
      <c r="E116">
        <v>51.64</v>
      </c>
      <c r="F116">
        <v>2100000</v>
      </c>
      <c r="G116">
        <v>50.28</v>
      </c>
      <c r="H116">
        <f t="shared" si="14"/>
        <v>19101000</v>
      </c>
      <c r="I116" s="18">
        <f t="shared" si="12"/>
        <v>0.94444444444445541</v>
      </c>
      <c r="J116" s="19">
        <f t="shared" si="13"/>
        <v>1983333.3333333563</v>
      </c>
      <c r="K116" s="19">
        <f t="shared" si="15"/>
        <v>-28748251.919613332</v>
      </c>
    </row>
    <row r="117" spans="1:11">
      <c r="A117" s="17">
        <v>41808</v>
      </c>
      <c r="B117">
        <v>51.98</v>
      </c>
      <c r="C117">
        <v>52.72</v>
      </c>
      <c r="D117">
        <v>51.94</v>
      </c>
      <c r="E117">
        <v>52.67</v>
      </c>
      <c r="F117">
        <v>4270500</v>
      </c>
      <c r="G117">
        <v>51.29</v>
      </c>
      <c r="H117">
        <f t="shared" si="14"/>
        <v>23371500</v>
      </c>
      <c r="I117" s="18">
        <f t="shared" si="12"/>
        <v>0.87179487179487924</v>
      </c>
      <c r="J117" s="19">
        <f t="shared" si="13"/>
        <v>3723000.0000000317</v>
      </c>
      <c r="K117" s="19">
        <f t="shared" si="15"/>
        <v>-25025251.919613302</v>
      </c>
    </row>
    <row r="118" spans="1:11">
      <c r="A118" s="17">
        <v>41809</v>
      </c>
      <c r="B118">
        <v>52.9</v>
      </c>
      <c r="C118">
        <v>52.98</v>
      </c>
      <c r="D118">
        <v>52.58</v>
      </c>
      <c r="E118">
        <v>52.67</v>
      </c>
      <c r="F118">
        <v>3203600</v>
      </c>
      <c r="G118">
        <v>51.29</v>
      </c>
      <c r="H118">
        <f t="shared" si="14"/>
        <v>23371500</v>
      </c>
      <c r="I118" s="18">
        <f t="shared" si="12"/>
        <v>-0.54999999999998139</v>
      </c>
      <c r="J118" s="19">
        <f t="shared" si="13"/>
        <v>-1761979.9999999404</v>
      </c>
      <c r="K118" s="19">
        <f t="shared" si="15"/>
        <v>-26787231.919613242</v>
      </c>
    </row>
    <row r="119" spans="1:11">
      <c r="A119" s="17">
        <v>41810</v>
      </c>
      <c r="B119">
        <v>52.82</v>
      </c>
      <c r="C119">
        <v>53.09</v>
      </c>
      <c r="D119">
        <v>52.75</v>
      </c>
      <c r="E119">
        <v>52.78</v>
      </c>
      <c r="F119">
        <v>2660300</v>
      </c>
      <c r="G119">
        <v>51.39</v>
      </c>
      <c r="H119">
        <f t="shared" si="14"/>
        <v>26031800</v>
      </c>
      <c r="I119" s="18">
        <f t="shared" si="12"/>
        <v>-0.82352941176470096</v>
      </c>
      <c r="J119" s="19">
        <f t="shared" si="13"/>
        <v>-2190835.2941176342</v>
      </c>
      <c r="K119" s="19">
        <f t="shared" si="15"/>
        <v>-28978067.213730875</v>
      </c>
    </row>
    <row r="120" spans="1:11">
      <c r="A120" s="17">
        <v>41813</v>
      </c>
      <c r="B120">
        <v>53</v>
      </c>
      <c r="C120">
        <v>53.14</v>
      </c>
      <c r="D120">
        <v>52.91</v>
      </c>
      <c r="E120">
        <v>53.07</v>
      </c>
      <c r="F120">
        <v>2234100</v>
      </c>
      <c r="G120">
        <v>51.68</v>
      </c>
      <c r="H120">
        <f t="shared" si="14"/>
        <v>28265900</v>
      </c>
      <c r="I120" s="18">
        <f t="shared" si="12"/>
        <v>0.39130434782609502</v>
      </c>
      <c r="J120" s="19">
        <f t="shared" si="13"/>
        <v>874213.04347827891</v>
      </c>
      <c r="K120" s="19">
        <f t="shared" si="15"/>
        <v>-28103854.170252595</v>
      </c>
    </row>
    <row r="121" spans="1:11">
      <c r="A121" s="17">
        <v>41814</v>
      </c>
      <c r="B121">
        <v>53.45</v>
      </c>
      <c r="C121">
        <v>53.48</v>
      </c>
      <c r="D121">
        <v>52.78</v>
      </c>
      <c r="E121">
        <v>52.84</v>
      </c>
      <c r="F121">
        <v>5946000</v>
      </c>
      <c r="G121">
        <v>51.45</v>
      </c>
      <c r="H121">
        <f t="shared" si="14"/>
        <v>22319900</v>
      </c>
      <c r="I121" s="18">
        <f t="shared" si="12"/>
        <v>-0.82857142857142108</v>
      </c>
      <c r="J121" s="19">
        <f t="shared" si="13"/>
        <v>-4926685.7142856698</v>
      </c>
      <c r="K121" s="19">
        <f t="shared" si="15"/>
        <v>-33030539.884538263</v>
      </c>
    </row>
    <row r="122" spans="1:11">
      <c r="A122" s="17">
        <v>41815</v>
      </c>
      <c r="B122">
        <v>52.72</v>
      </c>
      <c r="C122">
        <v>52.85</v>
      </c>
      <c r="D122">
        <v>52.41</v>
      </c>
      <c r="E122">
        <v>52.62</v>
      </c>
      <c r="F122">
        <v>4973700</v>
      </c>
      <c r="G122">
        <v>51.24</v>
      </c>
      <c r="H122">
        <f t="shared" si="14"/>
        <v>17346200</v>
      </c>
      <c r="I122" s="18">
        <f t="shared" si="12"/>
        <v>-4.5454545454552062E-2</v>
      </c>
      <c r="J122" s="19">
        <f t="shared" si="13"/>
        <v>-226077.27272730559</v>
      </c>
      <c r="K122" s="19">
        <f t="shared" si="15"/>
        <v>-33256617.15726557</v>
      </c>
    </row>
    <row r="123" spans="1:11">
      <c r="A123" s="17">
        <v>41816</v>
      </c>
      <c r="B123">
        <v>52.59</v>
      </c>
      <c r="C123">
        <v>52.84</v>
      </c>
      <c r="D123">
        <v>52.17</v>
      </c>
      <c r="E123">
        <v>52.75</v>
      </c>
      <c r="F123">
        <v>2525100</v>
      </c>
      <c r="G123">
        <v>51.36</v>
      </c>
      <c r="H123">
        <f t="shared" si="14"/>
        <v>19871300</v>
      </c>
      <c r="I123" s="18">
        <f t="shared" si="12"/>
        <v>0.73134328358208001</v>
      </c>
      <c r="J123" s="19">
        <f t="shared" si="13"/>
        <v>1846714.9253731102</v>
      </c>
      <c r="K123" s="19">
        <f t="shared" si="15"/>
        <v>-31409902.231892459</v>
      </c>
    </row>
    <row r="124" spans="1:11">
      <c r="A124" s="17">
        <v>41817</v>
      </c>
      <c r="B124">
        <v>52.62</v>
      </c>
      <c r="C124">
        <v>52.71</v>
      </c>
      <c r="D124">
        <v>52.4</v>
      </c>
      <c r="E124">
        <v>52.6</v>
      </c>
      <c r="F124">
        <v>3292500</v>
      </c>
      <c r="G124">
        <v>51.22</v>
      </c>
      <c r="H124">
        <f t="shared" si="14"/>
        <v>16578800</v>
      </c>
      <c r="I124" s="18">
        <f t="shared" si="12"/>
        <v>0.29032258064517014</v>
      </c>
      <c r="J124" s="19">
        <f t="shared" si="13"/>
        <v>955887.09677422268</v>
      </c>
      <c r="K124" s="19">
        <f t="shared" si="15"/>
        <v>-30454015.135118235</v>
      </c>
    </row>
    <row r="125" spans="1:11">
      <c r="A125" s="17">
        <v>41820</v>
      </c>
      <c r="B125">
        <v>52.58</v>
      </c>
      <c r="C125">
        <v>52.95</v>
      </c>
      <c r="D125">
        <v>52.47</v>
      </c>
      <c r="E125">
        <v>52.75</v>
      </c>
      <c r="F125">
        <v>2175500</v>
      </c>
      <c r="G125">
        <v>51.36</v>
      </c>
      <c r="H125">
        <f t="shared" si="14"/>
        <v>18754300</v>
      </c>
      <c r="I125" s="18">
        <f t="shared" si="12"/>
        <v>0.16666666666666174</v>
      </c>
      <c r="J125" s="19">
        <f t="shared" si="13"/>
        <v>362583.3333333226</v>
      </c>
      <c r="K125" s="19">
        <f t="shared" si="15"/>
        <v>-30091431.801784914</v>
      </c>
    </row>
    <row r="126" spans="1:11">
      <c r="A126" s="17">
        <v>41821</v>
      </c>
      <c r="B126">
        <v>52.9</v>
      </c>
      <c r="C126">
        <v>53.1</v>
      </c>
      <c r="D126">
        <v>52.81</v>
      </c>
      <c r="E126">
        <v>53</v>
      </c>
      <c r="F126">
        <v>3435700</v>
      </c>
      <c r="G126">
        <v>51.61</v>
      </c>
      <c r="H126">
        <f t="shared" si="14"/>
        <v>22190000</v>
      </c>
      <c r="I126" s="18">
        <f t="shared" si="12"/>
        <v>0.31034482758619508</v>
      </c>
      <c r="J126" s="19">
        <f t="shared" si="13"/>
        <v>1066251.7241378904</v>
      </c>
      <c r="K126" s="19">
        <f t="shared" si="15"/>
        <v>-29025180.077647023</v>
      </c>
    </row>
    <row r="127" spans="1:11">
      <c r="A127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Parameters</vt:lpstr>
      <vt:lpstr>Data</vt:lpstr>
      <vt:lpstr>endDate</vt:lpstr>
      <vt:lpstr>Data!ExternalData_138</vt:lpstr>
      <vt:lpstr>Data!ExternalData_139</vt:lpstr>
      <vt:lpstr>Data!ExternalData_140</vt:lpstr>
      <vt:lpstr>Data!ExternalData_141</vt:lpstr>
      <vt:lpstr>Data!ExternalData_142</vt:lpstr>
      <vt:lpstr>Data!ExternalData_143</vt:lpstr>
      <vt:lpstr>Data!ExternalData_144</vt:lpstr>
      <vt:lpstr>Data!ExternalData_145</vt:lpstr>
      <vt:lpstr>Data!ExternalData_146</vt:lpstr>
      <vt:lpstr>Data!ExternalData_147</vt:lpstr>
      <vt:lpstr>Data!ExternalData_148</vt:lpstr>
      <vt:lpstr>Data!ExternalData_149</vt:lpstr>
      <vt:lpstr>Data!ExternalData_150</vt:lpstr>
      <vt:lpstr>Data!ExternalData_151</vt:lpstr>
      <vt:lpstr>Data!ExternalData_152</vt:lpstr>
      <vt:lpstr>Data!ExternalData_153</vt:lpstr>
      <vt:lpstr>Data!ExternalData_154</vt:lpstr>
      <vt:lpstr>Data!ExternalData_157</vt:lpstr>
      <vt:lpstr>Data!ExternalData_158</vt:lpstr>
      <vt:lpstr>Data!ExternalData_159</vt:lpstr>
      <vt:lpstr>Data!ExternalData_160</vt:lpstr>
      <vt:lpstr>Data!ExternalData_161</vt:lpstr>
      <vt:lpstr>Data!ExternalData_162</vt:lpstr>
      <vt:lpstr>Data!ExternalData_163</vt:lpstr>
      <vt:lpstr>Data!ExternalData_164</vt:lpstr>
      <vt:lpstr>Data!ExternalData_165</vt:lpstr>
      <vt:lpstr>Data!ExternalData_166</vt:lpstr>
      <vt:lpstr>startDate</vt:lpstr>
      <vt:lpstr>ticker</vt:lpstr>
    </vt:vector>
  </TitlesOfParts>
  <Company>http://investexcel.net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 Khan (simulationconsultant@gmail.com)</dc:creator>
  <cp:lastModifiedBy>Andrew J. Askey</cp:lastModifiedBy>
  <dcterms:created xsi:type="dcterms:W3CDTF">2011-05-29T20:49:38Z</dcterms:created>
  <dcterms:modified xsi:type="dcterms:W3CDTF">2015-10-29T00:12:29Z</dcterms:modified>
</cp:coreProperties>
</file>